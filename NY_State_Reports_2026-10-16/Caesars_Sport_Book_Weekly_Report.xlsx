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4BEF2609-1CB7-4BCE-AF37-C4BC4410475E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 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<sst xmlns="http://schemas.openxmlformats.org/spreadsheetml/2006/main" count="85" uniqueCount="18">
  <si>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</si>
  <si>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</si>
  <si>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</si>
  <si>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</si>
  <si>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</si>
  <si>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</si>
  <si>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</si>
  <si>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</si>
  <si>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</si>
  <si>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</si>
  <si>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Caesars Sportsbook</t>
  </si>
  <si>
    <t xml:space="preserve">2) Mobile Sports Wagering Gross Gaming Revenue (GGR) is taxed at 51%. </t>
  </si>
  <si>
    <t>3) Caesars Sportsbook began operating in NY on 1/8/22.</t>
  </si>
  <si>
    <t xml:space="preserve"> Fiscal Year 2022/2023</t>
  </si>
  <si>
    <t xml:space="preserve"> Fiscal Year 2023-2024</t>
  </si>
  <si>
    <t xml:space="preserve"> Fiscal Year 2024-2025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</si>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</sst>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3" fillId="0" borderId="0" xfId="1" applyNumberFormat="1" applyAlignment="1" applyProtection="1"/>
    <xf numFmtId="6" fontId="1" fillId="0" borderId="0" xfId="0" applyNumberFormat="1" applyFo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/>
    </xf>
    <xf numFmtId="5" fontId="0" fillId="0" borderId="0" xfId="0" applyNumberFormat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0C5F3E-33F8-4A3E-97FB-66B12750FAC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9A3B03-4D52-464E-8F4B-92F808D4F2A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EF8F46-9B99-419B-9EFB-A797786FF7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4CCD10-ECA1-4C6E-9EBB-0A9CEC9AB5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144DF8-E58D-4C2D-AA0D-771E6CB26EB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104775</xdr:rowOff>
    </xdr:from>
    <xdr:to>
      <xdr:col>2</xdr:col>
      <xdr:colOff>19050</xdr:colOff>
      <xdr:row>4</xdr:row>
      <xdr:rowOff>125095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4D71F7-760D-426F-84DC-194EA4230ED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04775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25CF-5158-46B2-997C-1E835713C8D8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41" sqref="F4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17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46110</v>
      </c>
      <c r="B13" s="19"/>
      <c r="C13" s="20">
        <v>31613171.330000002</v>
      </c>
      <c r="F13" s="32">
        <v>2436647.6600000011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33233800.779999997</v>
      </c>
      <c r="F14" s="32">
        <v>3477440.7800000003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33127764.829999998</v>
      </c>
      <c r="F15" s="32">
        <v>3048177.3199999989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31470381.539999999</v>
      </c>
      <c r="F16" s="32">
        <v>3373787.3800000004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32555182.43</v>
      </c>
      <c r="F17" s="32">
        <v>3207245.6199999987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31891070.939999998</v>
      </c>
      <c r="F18" s="32">
        <v>2308603.7800000017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33126496.509999998</v>
      </c>
      <c r="F19" s="32">
        <v>3264377.2499999995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28146459.210000005</v>
      </c>
      <c r="F20" s="32">
        <v>2117538.0600000024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33188378.529999997</v>
      </c>
      <c r="F21" s="32">
        <v>2592543.7100000009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33258181.719999999</v>
      </c>
      <c r="F22" s="32">
        <v>1275369.1799999988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33219446.16</v>
      </c>
      <c r="F23" s="32">
        <v>3488824.8200000003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37454354.009999998</v>
      </c>
      <c r="F24" s="32">
        <v>-3738447.4199999971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33406414.349999998</v>
      </c>
      <c r="F25" s="32">
        <v>2668779.9299999978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29619233.999999996</v>
      </c>
      <c r="F26" s="32">
        <v>3289236.2899999991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38498676.870000005</v>
      </c>
      <c r="F27" s="32">
        <v>1785512.2700000005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30518497.569999997</v>
      </c>
      <c r="F28" s="32">
        <v>3721553.08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C29" s="20">
        <v>25844619.73</v>
      </c>
      <c r="F29" s="32">
        <v>2525190.36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C30" s="20">
        <v>22430416.330000002</v>
      </c>
      <c r="F30" s="32">
        <v>1850919.3999999994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C31" s="20">
        <v>24783391.540000003</v>
      </c>
      <c r="F31" s="32">
        <v>2464773.3400000003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C32" s="20">
        <v>25635698.810000002</v>
      </c>
      <c r="F32" s="32">
        <v>2163066.7900000014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C33" s="20">
        <v>26220192.339999996</v>
      </c>
      <c r="F33" s="32">
        <v>2930203.0199999982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C34" s="20">
        <v>24210783.23</v>
      </c>
      <c r="F34" s="32">
        <v>2317980.7600000002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C35" s="20">
        <v>25588402.099999998</v>
      </c>
      <c r="F35" s="32">
        <v>2177229.2399999993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C36" s="20">
        <v>31393608.130000003</v>
      </c>
      <c r="F36" s="32">
        <v>2309435.8000000012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C37" s="20">
        <v>36284766.080000006</v>
      </c>
      <c r="F37" s="32">
        <v>1130589.7199999997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C38" s="20">
        <v>36576449.549999997</v>
      </c>
      <c r="F38" s="32">
        <v>2038070.9199999981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C39" s="20">
        <v>37726553.149999999</v>
      </c>
      <c r="F39" s="32">
        <v>1308777.6900000055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C40" s="20">
        <v>44565728.660000004</v>
      </c>
      <c r="F40" s="32">
        <v>2177047.7700000005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C41" s="20">
        <v>39377883.089999996</v>
      </c>
      <c r="F41" s="32">
        <v>3511389.5300000003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3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3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3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3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3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3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3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32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32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32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3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32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32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32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32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32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32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32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32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32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3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32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32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32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924966003.5200001</v>
      </c>
      <c r="F67" s="22">
        <f>SUM(F13:F66)</f>
        <v>67221864.050000012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5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E2B4-811A-4CD4-A668-2926E621C4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K60" sqref="K6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16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45746</v>
      </c>
      <c r="B13" s="19"/>
      <c r="C13" s="20">
        <v>35169988.639999993</v>
      </c>
      <c r="F13" s="20">
        <v>1201925.0499999984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38585645.670000002</v>
      </c>
      <c r="F14" s="20">
        <v>2710013.6000000006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32643043.219999999</v>
      </c>
      <c r="F15" s="20">
        <v>2309901.350000001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31699859.840000004</v>
      </c>
      <c r="F16" s="20">
        <v>1581325.9899999974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41070421.420000009</v>
      </c>
      <c r="F17" s="20">
        <v>1580532.54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33996854.229999997</v>
      </c>
      <c r="F18" s="20">
        <v>3426251.0800000005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36333611.019999996</v>
      </c>
      <c r="F19" s="20">
        <v>3041455.9299999997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34299615.800000004</v>
      </c>
      <c r="F20" s="20">
        <v>2280340.890000002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31279015.949999996</v>
      </c>
      <c r="F21" s="20">
        <v>3746197.6599999992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34179450.428999268</v>
      </c>
      <c r="F22" s="20">
        <v>3058425.7589992685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27199961.400000002</v>
      </c>
      <c r="F23" s="20">
        <v>3331836.1800000016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26517747.490000002</v>
      </c>
      <c r="F24" s="20">
        <v>3304127.0699999994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25814884.180000003</v>
      </c>
      <c r="F25" s="20">
        <v>2480416.4899999998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22056488.18</v>
      </c>
      <c r="F26" s="20">
        <v>2410168.0799999996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25245864.900000002</v>
      </c>
      <c r="F27" s="20">
        <v>2695504.6299999994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24006128.430000003</v>
      </c>
      <c r="F28" s="20">
        <v>1603991.1000000006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17685682.77</v>
      </c>
      <c r="F29" s="20">
        <v>2083542.79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22370273.399999999</v>
      </c>
      <c r="F30" s="20">
        <v>2373483.7399999998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22093800.198499817</v>
      </c>
      <c r="F31" s="20">
        <v>3010040.2784998151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21535678.599999998</v>
      </c>
      <c r="F32" s="20">
        <v>1882866.6299999992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24268186.609999761</v>
      </c>
      <c r="F33" s="20">
        <v>1812782.1099997605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26310981.119999997</v>
      </c>
      <c r="F34" s="20">
        <v>2221838.12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31008655.18</v>
      </c>
      <c r="F35" s="20">
        <v>3528136.0199999996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34816167.569999993</v>
      </c>
      <c r="F36" s="20">
        <v>2305526.3000000003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33456390.749999996</v>
      </c>
      <c r="F37" s="20">
        <v>2594693.69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36413126.199999996</v>
      </c>
      <c r="F38" s="20">
        <v>2903698.2299999977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39143678.000000007</v>
      </c>
      <c r="F39" s="20">
        <v>2181574.0499999998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42463699.700000003</v>
      </c>
      <c r="F40" s="20">
        <v>3615303.6999999988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38676659.209999993</v>
      </c>
      <c r="F41" s="20">
        <v>3735478.7799999993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38038450.240000002</v>
      </c>
      <c r="F42" s="20">
        <v>1766575.8699999996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39900940.240000002</v>
      </c>
      <c r="F43" s="20">
        <v>2019167.5999999992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43056716.160000004</v>
      </c>
      <c r="F44" s="20">
        <v>3848134.6100000027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42562980</v>
      </c>
      <c r="F45" s="20">
        <v>3276159.3299999996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41624411.130000003</v>
      </c>
      <c r="F46" s="20">
        <v>2838316.0800000015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39568799.760000005</v>
      </c>
      <c r="F47" s="20">
        <v>3283183.2400000035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44338187.020000011</v>
      </c>
      <c r="F48" s="20">
        <v>3767631.1200000034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37748453.259999998</v>
      </c>
      <c r="F49" s="20">
        <v>4548442.26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32695779.299999997</v>
      </c>
      <c r="F50" s="20">
        <v>3076550.3899999997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35623281.700000003</v>
      </c>
      <c r="F51" s="20">
        <v>1834643.2500000005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33450510.200003292</v>
      </c>
      <c r="F52" s="20">
        <v>3689823.5500032906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39802371.780000001</v>
      </c>
      <c r="F53" s="20">
        <v>3848549.39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37133652.870000005</v>
      </c>
      <c r="F54" s="20">
        <v>1812538.9399999995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34016173.210000008</v>
      </c>
      <c r="F55" s="20">
        <v>4489138.7500000009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35180280.109999999</v>
      </c>
      <c r="F56" s="20">
        <v>502558.63999999966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33801509.359999999</v>
      </c>
      <c r="F57" s="20">
        <v>2481554.1299999976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37624120.230000004</v>
      </c>
      <c r="F58" s="20">
        <v>1647113.7699999991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30153068.870000001</v>
      </c>
      <c r="F59" s="20">
        <v>2389710.6599999983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32381632.739999998</v>
      </c>
      <c r="F60" s="20">
        <v>2674940.140000002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30907871.959999997</v>
      </c>
      <c r="F61" s="20">
        <v>2243149.6300000004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34778393.729999997</v>
      </c>
      <c r="F62" s="20">
        <v>3161618.6800000034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34827164.269999996</v>
      </c>
      <c r="F63" s="20">
        <v>3751860.1000000024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37158848.149999999</v>
      </c>
      <c r="F64" s="20">
        <v>3546048.8300000005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1736715156.3975022</v>
      </c>
      <c r="F67" s="22">
        <f>SUM(F13:F66)</f>
        <v>141508786.79750216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4" priority="2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C774-8083-4052-AB8A-445FB31350DB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15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45382</v>
      </c>
      <c r="B13" s="19"/>
      <c r="C13" s="20">
        <v>40692209.784799293</v>
      </c>
      <c r="F13" s="20">
        <v>3473597.8347992864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41769228.915799953</v>
      </c>
      <c r="F14" s="20">
        <v>2249000.4557999466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36009953.693498284</v>
      </c>
      <c r="F15" s="20">
        <v>1670187.8134982833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33679504.058499411</v>
      </c>
      <c r="F16" s="20">
        <v>3023426.408499416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37353938.449666403</v>
      </c>
      <c r="F17" s="20">
        <v>2205965.2096664067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36190839.56259945</v>
      </c>
      <c r="F18" s="20">
        <v>1384937.1225994541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39978198.128002286</v>
      </c>
      <c r="F19" s="20">
        <v>2852687.1580022834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38590501.313698404</v>
      </c>
      <c r="F20" s="20">
        <v>2800105.2236983944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33097327.362301406</v>
      </c>
      <c r="F21" s="20">
        <v>3323574.1723014009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32480750.320000004</v>
      </c>
      <c r="F22" s="20">
        <v>2260770.1899999995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27668719.390000004</v>
      </c>
      <c r="F23" s="20">
        <v>2062669.8000000021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30669138.569999997</v>
      </c>
      <c r="F24" s="20">
        <v>1682474.6199999941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31314023.140000001</v>
      </c>
      <c r="F25" s="20">
        <v>2536849.1399999983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27871775.170000002</v>
      </c>
      <c r="F26" s="20">
        <v>1997706.9400000013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26622252.289999999</v>
      </c>
      <c r="F27" s="20">
        <v>3286104.08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26420733.540000003</v>
      </c>
      <c r="F28" s="20">
        <v>1648676.12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19946661.34</v>
      </c>
      <c r="F29" s="20">
        <v>2503264.79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24310133.610000003</v>
      </c>
      <c r="F30" s="20">
        <v>2698698.82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26744865.969999999</v>
      </c>
      <c r="F31" s="20">
        <v>1859339.7499999995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26188146.119999997</v>
      </c>
      <c r="F32" s="20">
        <v>2245076.4199999995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25561536.409999996</v>
      </c>
      <c r="F33" s="20">
        <v>2445218.2999999989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26086425.609999999</v>
      </c>
      <c r="F34" s="20">
        <v>1708671.3800000013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31591450.829999998</v>
      </c>
      <c r="F35" s="20">
        <v>2310323.7699999991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35027726.379999995</v>
      </c>
      <c r="F36" s="20">
        <v>1988894.2400000012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33448312.019999996</v>
      </c>
      <c r="F37" s="20">
        <v>3795548.5899999989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35638164.199999996</v>
      </c>
      <c r="F38" s="20">
        <v>2956702.5900000008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34720869.129999958</v>
      </c>
      <c r="F39" s="20">
        <v>3774647.8199999598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32238496.809999999</v>
      </c>
      <c r="F40" s="20">
        <v>3008589.2499999986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31768755.349999998</v>
      </c>
      <c r="F41" s="20">
        <v>1623704.540000001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39494279.839999996</v>
      </c>
      <c r="F42" s="20">
        <v>515350.92000000086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37496080.420000002</v>
      </c>
      <c r="F43" s="20">
        <v>3959842.0599999996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37319237.450000003</v>
      </c>
      <c r="F44" s="20">
        <v>2669669.7100000004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37658770.520000003</v>
      </c>
      <c r="F45" s="20">
        <v>4101217.4599999995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33127410.129999995</v>
      </c>
      <c r="F46" s="20">
        <v>3115521.8999999994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31800015.420000006</v>
      </c>
      <c r="F47" s="20">
        <v>3317812.9199999985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43821135.579999998</v>
      </c>
      <c r="F48" s="20">
        <v>1957663.2800000012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36304782.310000002</v>
      </c>
      <c r="F49" s="20">
        <v>2363195.3099999982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31279289.899999999</v>
      </c>
      <c r="F50" s="20">
        <v>2005262.81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35891868.68</v>
      </c>
      <c r="F51" s="20">
        <v>2031806.2399999993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36486424.259999998</v>
      </c>
      <c r="F52" s="20">
        <v>3169041.7899999972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40455241.849999994</v>
      </c>
      <c r="F53" s="20">
        <v>2617822.8699999992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36435119.350000001</v>
      </c>
      <c r="F54" s="20">
        <v>3560956.890000002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41126741.060000002</v>
      </c>
      <c r="F55" s="20">
        <v>4074323.6099999957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34922865.5</v>
      </c>
      <c r="F56" s="20">
        <v>3051120.56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32525758.199999999</v>
      </c>
      <c r="F57" s="20">
        <v>3825091.3200000026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36220362.329999998</v>
      </c>
      <c r="F58" s="20">
        <v>2410986.6299999985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26993420.25</v>
      </c>
      <c r="F59" s="20">
        <v>2490308.7199999988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30966373.870000001</v>
      </c>
      <c r="F60" s="20">
        <v>2320933.8499999987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34746668.420000002</v>
      </c>
      <c r="F61" s="20">
        <v>1428793.96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34412341.170000002</v>
      </c>
      <c r="F62" s="20">
        <v>2250223.9400000009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36582753.230000004</v>
      </c>
      <c r="F63" s="20">
        <v>2916818.4300000016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38783963.82</v>
      </c>
      <c r="F64" s="20">
        <v>1845814.3899999997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1748531541.0288649</v>
      </c>
      <c r="F67" s="22">
        <f>SUM(F13:F66)</f>
        <v>133376992.11886482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09B5-627B-4400-8ED3-C243359594C9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14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45018</v>
      </c>
      <c r="B13" s="19"/>
      <c r="C13" s="20">
        <v>40118415.044900134</v>
      </c>
      <c r="F13" s="20">
        <v>3908770.9349001362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41184343.2182004</v>
      </c>
      <c r="F14" s="32">
        <v>-178678.98179960996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40885996.40050032</v>
      </c>
      <c r="F15" s="20">
        <v>3623335.8305003182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47138315.067200214</v>
      </c>
      <c r="F16" s="20">
        <v>4923896.6972002201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41769265.800000072</v>
      </c>
      <c r="F17" s="20">
        <v>3722143.980000067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39665810.080000438</v>
      </c>
      <c r="F18" s="20">
        <v>4028118.7900004373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39228258.542700358</v>
      </c>
      <c r="F19" s="32">
        <v>3114717.0227003531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37438212.725000001</v>
      </c>
      <c r="F20" s="32">
        <v>2370463.7549999999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20">
        <v>31839176.972500116</v>
      </c>
      <c r="F21" s="32">
        <v>3634774.9825001196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34648109.990000077</v>
      </c>
      <c r="F22" s="32">
        <v>2273808.9500000784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32060228.020000089</v>
      </c>
      <c r="F23" s="32">
        <v>2377535.4500000873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28258544.59749997</v>
      </c>
      <c r="F24" s="32">
        <v>693982.97749997163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26211658.972400006</v>
      </c>
      <c r="F25" s="32">
        <v>2059859.6824000073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26694722.411299847</v>
      </c>
      <c r="F26" s="32">
        <v>2580705.1412998512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28672081.933399949</v>
      </c>
      <c r="F27" s="32">
        <v>2108049.1933999546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18758930.786400065</v>
      </c>
      <c r="F28" s="32">
        <v>1577387.5564000616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25374677.803700108</v>
      </c>
      <c r="F29" s="32">
        <v>3018261.6337001082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26469020.620799903</v>
      </c>
      <c r="F30" s="32">
        <v>2548415.1507999017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28704798.919999838</v>
      </c>
      <c r="F31" s="32">
        <v>2988916.8699998376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26456740.262500089</v>
      </c>
      <c r="F32" s="32">
        <v>2006176.1125000897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25936788.078099955</v>
      </c>
      <c r="F33" s="32">
        <v>2296975.8580999528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24814211.350000001</v>
      </c>
      <c r="F34" s="32">
        <v>1642221.8800000013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36253698.370402202</v>
      </c>
      <c r="F35" s="32">
        <v>1538928.4104021988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40920453.763000004</v>
      </c>
      <c r="F36" s="20">
        <v>4361005.3730000015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38859834.106300004</v>
      </c>
      <c r="F37" s="20">
        <v>1864731.4262999971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43390939.992896624</v>
      </c>
      <c r="F38" s="32">
        <v>3120817.1028966168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42643119.985999532</v>
      </c>
      <c r="F39" s="20">
        <v>89699.235999527387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40903886.945499569</v>
      </c>
      <c r="F40" s="20">
        <v>2584992.6354995668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42474081.135499939</v>
      </c>
      <c r="F41" s="20">
        <v>4923947.2654999439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41920547.516800024</v>
      </c>
      <c r="F42" s="20">
        <v>3944972.0268000187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46929547.572099008</v>
      </c>
      <c r="F43" s="20">
        <v>1297722.1020990061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46050322.85729818</v>
      </c>
      <c r="F44" s="20">
        <v>2692128.6772981873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48256897.96349851</v>
      </c>
      <c r="F45" s="20">
        <v>2840178.6434985036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46446667.813198157</v>
      </c>
      <c r="F46" s="20">
        <v>4312778.7431981601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55037518.74859868</v>
      </c>
      <c r="F47" s="20">
        <v>494509.60859867651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45765735.016797952</v>
      </c>
      <c r="F48" s="20">
        <v>2883643.6367979492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41561613.643500291</v>
      </c>
      <c r="F49" s="20">
        <v>4468776.9135002922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43610089.826099694</v>
      </c>
      <c r="F50" s="20">
        <v>3633705.1760996999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42945134.779999122</v>
      </c>
      <c r="F51" s="20">
        <v>4388253.2499991208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47865391.617499813</v>
      </c>
      <c r="F52" s="20">
        <v>2901274.7974998113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46954756.148899861</v>
      </c>
      <c r="F53" s="20">
        <v>566512.72889986075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45841770.175499596</v>
      </c>
      <c r="F54" s="20">
        <v>5387843.1554995961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51101184.372399926</v>
      </c>
      <c r="F55" s="20">
        <v>2083623.1623999276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40504484.138299987</v>
      </c>
      <c r="F56" s="20">
        <v>4041461.1182999811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36197655.982199818</v>
      </c>
      <c r="F57" s="20">
        <v>3529593.5221998156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47308448.95859991</v>
      </c>
      <c r="F58" s="32">
        <v>-1333177.3214000943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35231938.234299615</v>
      </c>
      <c r="F59" s="20">
        <v>1281426.054299613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35269271.017499961</v>
      </c>
      <c r="F60" s="20">
        <v>3668010.9174999651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42816015.209299266</v>
      </c>
      <c r="F61" s="20">
        <v>1908160.2592992648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44053738.939199716</v>
      </c>
      <c r="F62" s="20">
        <v>3335701.3991997065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48937214.285199404</v>
      </c>
      <c r="F63" s="20">
        <v>3357052.5651994003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48170659.910200104</v>
      </c>
      <c r="F64" s="20">
        <v>2919476.0502001001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2026550926.6236866</v>
      </c>
      <c r="F67" s="22">
        <f>SUM(F13:F66)</f>
        <v>140407588.10368636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2C21-0D86-4A10-8B13-C5EF58B77FA4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13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44654</v>
      </c>
      <c r="B13" s="19"/>
      <c r="C13" s="20">
        <v>48873594.744999096</v>
      </c>
      <c r="F13" s="20">
        <v>4254072.1749991002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49359984.445</v>
      </c>
      <c r="F14" s="20">
        <v>694637.00499999989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49871012.09249904</v>
      </c>
      <c r="F15" s="20">
        <v>3354558.9924990362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54234036.839999862</v>
      </c>
      <c r="F16" s="20">
        <v>3929039.7799998634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43967120.827499688</v>
      </c>
      <c r="F17" s="20">
        <v>1361370.7374996813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52028639.666199625</v>
      </c>
      <c r="F18" s="20">
        <v>4633806.7361996248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45379532.930750035</v>
      </c>
      <c r="F19" s="32">
        <v>3090371.6807500338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40617910.478301473</v>
      </c>
      <c r="F20" s="32">
        <v>2351657.4283014731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20">
        <v>38568006.272499949</v>
      </c>
      <c r="F21" s="32">
        <v>1561717.4824999515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40573583.552499518</v>
      </c>
      <c r="F22" s="32">
        <v>171656.61249952205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37099240.594999492</v>
      </c>
      <c r="F23" s="32">
        <v>2969372.5249994891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38190994.269999482</v>
      </c>
      <c r="F24" s="32">
        <v>-962042.83000052348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33064982.971999999</v>
      </c>
      <c r="F25" s="32">
        <v>2249100.9819999998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31266883.365000013</v>
      </c>
      <c r="F26" s="32">
        <v>1822442.9650000171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30542769.597249143</v>
      </c>
      <c r="F27" s="32">
        <v>3596757.5372491437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27881922.302999932</v>
      </c>
      <c r="F28" s="32">
        <v>547043.03299992799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20387153.224000014</v>
      </c>
      <c r="F29" s="32">
        <v>2219462.4640000169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24955129.53449963</v>
      </c>
      <c r="F30" s="32">
        <v>1645226.9744996279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27835617.55624951</v>
      </c>
      <c r="F31" s="32">
        <v>2593044.5362495133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26364363.146416552</v>
      </c>
      <c r="F32" s="32">
        <v>2651787.9164165524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26880134.453749985</v>
      </c>
      <c r="F33" s="32">
        <v>2991495.3837499903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26343973.278749976</v>
      </c>
      <c r="F34" s="32">
        <v>2913338.6887499737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29087256.795500007</v>
      </c>
      <c r="F35" s="32">
        <v>2945606.2655000081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43078902.898948736</v>
      </c>
      <c r="F36" s="20">
        <v>4315489.5289487299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40984922.702246808</v>
      </c>
      <c r="F37" s="20">
        <v>5308709.5722468048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39429501.415497318</v>
      </c>
      <c r="F38" s="32">
        <v>3818314.4054973205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40406056.187998325</v>
      </c>
      <c r="F39" s="20">
        <v>852994.27799832495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41863201.170747593</v>
      </c>
      <c r="F40" s="20">
        <v>5304036.3207475916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39938492.171247303</v>
      </c>
      <c r="F41" s="20">
        <v>3321993.3912473018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45944387.862998262</v>
      </c>
      <c r="F42" s="20">
        <v>3835624.4129982553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43011142.838498436</v>
      </c>
      <c r="F43" s="20">
        <v>4499153.2584984396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44143743.282248996</v>
      </c>
      <c r="F44" s="20">
        <v>4174846.1922490001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43716729.206999049</v>
      </c>
      <c r="F45" s="20">
        <v>3154889.0369990398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44409637.973749429</v>
      </c>
      <c r="F46" s="20">
        <v>4812668.7437494267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56145471.476999909</v>
      </c>
      <c r="F47" s="20">
        <v>2803348.4469999098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50676211.301499046</v>
      </c>
      <c r="F48" s="20">
        <v>2454583.2614990501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45393726.855249643</v>
      </c>
      <c r="F49" s="20">
        <v>5831525.7352496432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45593400.531000003</v>
      </c>
      <c r="F50" s="20">
        <v>1509761.571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45812402.361499935</v>
      </c>
      <c r="F51" s="20">
        <v>3510595.0214999411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52983702.830000438</v>
      </c>
      <c r="F52" s="20">
        <v>2683230.1200004322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51689066.534500033</v>
      </c>
      <c r="F53" s="20">
        <v>1670891.7145000314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52394506.912499994</v>
      </c>
      <c r="F54" s="20">
        <v>2958423.0225000018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57527200.665000185</v>
      </c>
      <c r="F55" s="20">
        <v>6077120.055000186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43001354.765000552</v>
      </c>
      <c r="F56" s="20">
        <v>3972230.8150005522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40430549.512500159</v>
      </c>
      <c r="F57" s="20">
        <v>4618739.0125001548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58862751.567499444</v>
      </c>
      <c r="F58" s="32">
        <v>-1315651.3025005599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44587152.914999731</v>
      </c>
      <c r="F59" s="20">
        <v>1400239.1649997318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46008271.849999972</v>
      </c>
      <c r="F60" s="20">
        <v>2980326.2399999662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55786532.784999952</v>
      </c>
      <c r="F61" s="20">
        <v>2984042.0549999587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58964547</v>
      </c>
      <c r="F62" s="20">
        <v>3890522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63096350</v>
      </c>
      <c r="F63" s="20">
        <v>2848089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46138033.349699996</v>
      </c>
      <c r="F64" s="20">
        <v>3771021.7696999889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2">
        <f>SUM(C13:C65)</f>
        <v>2225391793.8657913</v>
      </c>
      <c r="F66" s="22">
        <f>SUM(F13:F65)</f>
        <v>151633281.91579127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3"/>
      <c r="D67" s="23"/>
      <c r="E67" s="23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4" t="s">
        <v>5</v>
      </c>
      <c r="B68" s="24"/>
      <c r="C68" s="23"/>
      <c r="D68" s="23"/>
      <c r="E68" s="23"/>
      <c r="F68" s="23"/>
      <c r="G68" s="23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5" t="s">
        <v>9</v>
      </c>
      <c r="B69" s="35"/>
      <c r="C69" s="35"/>
      <c r="D69" s="35"/>
      <c r="E69" s="35"/>
      <c r="F69" s="35"/>
      <c r="G69" s="35"/>
      <c r="H69" s="35"/>
      <c r="I69" s="35"/>
      <c r="J69" s="35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5" t="s">
        <v>11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3"/>
      <c r="I101" s="2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s="23" customFormat="1" x14ac:dyDescent="0.25">
      <c r="B103" s="6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3" customFormat="1" x14ac:dyDescent="0.25">
      <c r="B104" s="6"/>
      <c r="C104" s="20"/>
      <c r="D104" s="20"/>
      <c r="E104" s="20"/>
      <c r="F104" s="20"/>
      <c r="G104" s="20"/>
      <c r="H104" s="25"/>
      <c r="I104" s="25"/>
      <c r="J104" s="26"/>
      <c r="K104" s="25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5"/>
      <c r="M106" s="25"/>
      <c r="N106" s="25"/>
      <c r="O106" s="25"/>
      <c r="P106" s="25"/>
      <c r="Q106" s="25"/>
      <c r="R106" s="25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6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A27" sqref="A27:E30"/>
    </sheetView>
  </sheetViews>
  <sheetFormatPr defaultRowHeight="15" x14ac:dyDescent="0.25"/>
  <cols>
    <col min="1" max="1" width="11.85546875" style="6" customWidth="1"/>
    <col min="2" max="2" width="15.7109375" style="20" customWidth="1"/>
    <col min="3" max="3" width="6" style="20" customWidth="1"/>
    <col min="4" max="4" width="15.7109375" style="20" customWidth="1"/>
    <col min="5" max="5" width="6.140625" style="20" customWidth="1"/>
    <col min="6" max="6" width="2.5703125" style="20" customWidth="1"/>
    <col min="7" max="7" width="7.7109375" style="20" customWidth="1"/>
    <col min="8" max="8" width="12.85546875" style="20" customWidth="1"/>
    <col min="9" max="9" width="11.5703125" style="20" customWidth="1"/>
    <col min="10" max="10" width="11.85546875" style="20" customWidth="1"/>
    <col min="11" max="11" width="2" style="21" customWidth="1"/>
    <col min="12" max="12" width="8.28515625" style="21" customWidth="1"/>
    <col min="13" max="13" width="11" style="20" customWidth="1"/>
    <col min="14" max="14" width="1.85546875" style="20" customWidth="1"/>
    <col min="15" max="15" width="11.85546875" style="20" bestFit="1" customWidth="1"/>
    <col min="16" max="16" width="11.5703125" style="20" customWidth="1"/>
    <col min="17" max="17" width="1.85546875" style="20" customWidth="1"/>
    <col min="18" max="18" width="12.85546875" style="20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4"/>
      <c r="T3" s="4"/>
      <c r="U3" s="4"/>
      <c r="V3" s="4"/>
      <c r="W3" s="4"/>
    </row>
    <row r="4" spans="1:23" s="3" customFormat="1" ht="18" x14ac:dyDescent="0.25">
      <c r="A4" s="28"/>
      <c r="B4" s="28"/>
      <c r="C4" s="28"/>
      <c r="D4" s="28"/>
      <c r="E4" s="2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8" t="s">
        <v>8</v>
      </c>
      <c r="B6" s="39"/>
      <c r="C6" s="39"/>
      <c r="D6" s="39"/>
      <c r="E6" s="40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4" t="s">
        <v>7</v>
      </c>
      <c r="B8" s="34"/>
      <c r="C8" s="34"/>
      <c r="D8" s="34"/>
      <c r="E8" s="34"/>
    </row>
    <row r="9" spans="1:23" s="13" customFormat="1" ht="12" customHeight="1" x14ac:dyDescent="0.2">
      <c r="A9" s="30"/>
      <c r="B9" s="30"/>
      <c r="C9" s="30"/>
      <c r="D9" s="30"/>
      <c r="E9" s="30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3" customFormat="1" ht="12" customHeight="1" x14ac:dyDescent="0.2">
      <c r="A11" s="11"/>
      <c r="B11" s="15" t="s">
        <v>0</v>
      </c>
      <c r="C11" s="15"/>
      <c r="D11" s="15" t="s">
        <v>0</v>
      </c>
      <c r="E11" s="15"/>
      <c r="F11" s="12"/>
    </row>
    <row r="12" spans="1:23" s="16" customFormat="1" ht="12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14"/>
    </row>
    <row r="13" spans="1:23" x14ac:dyDescent="0.25">
      <c r="A13" s="19">
        <v>44570</v>
      </c>
      <c r="B13" s="20">
        <v>67420615.079999998</v>
      </c>
      <c r="D13" s="20">
        <v>8582934.1600000001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19">
        <f t="shared" ref="A14:A24" si="0">A13+7</f>
        <v>44577</v>
      </c>
      <c r="B14" s="20">
        <v>190230584.34</v>
      </c>
      <c r="D14" s="20">
        <v>14131804.76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19">
        <f t="shared" si="0"/>
        <v>44584</v>
      </c>
      <c r="B15" s="20">
        <v>229709717.81999999</v>
      </c>
      <c r="D15" s="20">
        <v>19036116.5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19">
        <f t="shared" si="0"/>
        <v>44591</v>
      </c>
      <c r="B16" s="20">
        <v>128143427.19340003</v>
      </c>
      <c r="D16" s="20">
        <v>14136472.45340004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19">
        <f t="shared" si="0"/>
        <v>44598</v>
      </c>
      <c r="B17" s="20">
        <v>87152546.760000005</v>
      </c>
      <c r="D17" s="20">
        <v>8770609.9299999978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19">
        <f t="shared" si="0"/>
        <v>44605</v>
      </c>
      <c r="B18" s="20">
        <v>107211595.75</v>
      </c>
      <c r="D18" s="20">
        <v>5821284.1700000102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19">
        <f t="shared" si="0"/>
        <v>44612</v>
      </c>
      <c r="B19" s="20">
        <v>65811646.07</v>
      </c>
      <c r="D19" s="20">
        <v>4228910.620000001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19">
        <f t="shared" si="0"/>
        <v>44619</v>
      </c>
      <c r="B20" s="20">
        <v>68267343.698000014</v>
      </c>
      <c r="D20" s="20">
        <v>4031201.3980000047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19">
        <f t="shared" si="0"/>
        <v>44626</v>
      </c>
      <c r="B21" s="20">
        <v>64828925.652500004</v>
      </c>
      <c r="D21" s="20">
        <v>5413752.0724999979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19">
        <f t="shared" si="0"/>
        <v>44633</v>
      </c>
      <c r="B22" s="20">
        <v>66859246.860000007</v>
      </c>
      <c r="D22" s="20">
        <v>7615132.2700000023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19">
        <f t="shared" si="0"/>
        <v>44640</v>
      </c>
      <c r="B23" s="20">
        <v>67758590.349999994</v>
      </c>
      <c r="D23" s="20">
        <v>4352538.2699999968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19">
        <f t="shared" si="0"/>
        <v>44647</v>
      </c>
      <c r="B24" s="20">
        <v>56915566.434000604</v>
      </c>
      <c r="D24" s="20">
        <v>2277521.6540005999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2">
        <f>SUM(B13:B24)</f>
        <v>1200309806.0079005</v>
      </c>
      <c r="D25" s="22">
        <f>SUM(D13:D24)</f>
        <v>98398278.25790064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4" t="s">
        <v>5</v>
      </c>
      <c r="B26" s="23"/>
      <c r="C26" s="23"/>
      <c r="D26" s="23"/>
      <c r="E26" s="23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35" t="s">
        <v>9</v>
      </c>
      <c r="B27" s="35"/>
      <c r="C27" s="35"/>
      <c r="D27" s="35"/>
      <c r="E27" s="35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6.25" customHeight="1" x14ac:dyDescent="0.25">
      <c r="A28" s="35" t="s">
        <v>11</v>
      </c>
      <c r="B28" s="35"/>
      <c r="C28" s="35"/>
      <c r="D28" s="35"/>
      <c r="E28" s="35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41" t="s">
        <v>12</v>
      </c>
      <c r="B29" s="41"/>
      <c r="C29" s="41"/>
      <c r="D29" s="41"/>
      <c r="E29" s="41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42" customHeight="1" x14ac:dyDescent="0.25">
      <c r="A30" s="37" t="s">
        <v>10</v>
      </c>
      <c r="B30" s="37"/>
      <c r="C30" s="37"/>
      <c r="D30" s="37"/>
      <c r="E30" s="37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E31" s="2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1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1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1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1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1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1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1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1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1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1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1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1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1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1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3"/>
      <c r="G61" s="21"/>
      <c r="K61"/>
      <c r="L61"/>
      <c r="M61"/>
      <c r="N61"/>
      <c r="O61"/>
      <c r="P61"/>
      <c r="Q61"/>
      <c r="R61"/>
    </row>
    <row r="62" spans="1:18" x14ac:dyDescent="0.25">
      <c r="F62" s="23"/>
      <c r="G62" s="21"/>
      <c r="K62"/>
      <c r="L62"/>
      <c r="M62"/>
      <c r="N62"/>
      <c r="O62"/>
      <c r="P62"/>
      <c r="Q62"/>
      <c r="R62"/>
    </row>
    <row r="63" spans="1:18" s="23" customFormat="1" x14ac:dyDescent="0.25">
      <c r="A63" s="6"/>
      <c r="B63" s="20"/>
      <c r="C63" s="20"/>
      <c r="D63" s="20"/>
      <c r="E63" s="20"/>
      <c r="F63" s="20"/>
      <c r="G63" s="20"/>
      <c r="H63" s="21"/>
      <c r="I63" s="20"/>
      <c r="J63" s="20"/>
      <c r="L63" s="21"/>
      <c r="M63" s="20"/>
      <c r="N63" s="20"/>
      <c r="O63" s="20"/>
      <c r="P63" s="20"/>
      <c r="Q63" s="20"/>
      <c r="R63" s="20"/>
    </row>
    <row r="64" spans="1:18" s="23" customFormat="1" x14ac:dyDescent="0.25">
      <c r="A64" s="6"/>
      <c r="B64" s="20"/>
      <c r="C64" s="20"/>
      <c r="D64" s="20"/>
      <c r="E64" s="20"/>
      <c r="F64" s="25"/>
      <c r="G64" s="25"/>
      <c r="H64" s="26"/>
      <c r="I64" s="25"/>
      <c r="J64" s="25"/>
      <c r="L64" s="21"/>
      <c r="M64" s="20"/>
      <c r="N64" s="20"/>
      <c r="O64" s="20"/>
      <c r="P64" s="20"/>
      <c r="Q64" s="20"/>
      <c r="R64" s="20"/>
    </row>
    <row r="65" spans="1:23" x14ac:dyDescent="0.25">
      <c r="G65" s="21"/>
      <c r="K65" s="20"/>
      <c r="L65" s="20"/>
      <c r="S65" s="20"/>
      <c r="T65" s="20"/>
    </row>
    <row r="66" spans="1:23" x14ac:dyDescent="0.25">
      <c r="G66" s="21"/>
      <c r="K66" s="25"/>
      <c r="L66" s="25"/>
      <c r="M66" s="25"/>
      <c r="N66" s="25"/>
      <c r="O66" s="25"/>
      <c r="P66" s="25"/>
      <c r="Q66" s="25"/>
      <c r="S66" s="20"/>
      <c r="T66" s="20"/>
    </row>
    <row r="67" spans="1:23" x14ac:dyDescent="0.25">
      <c r="G67" s="21"/>
    </row>
    <row r="68" spans="1:23" x14ac:dyDescent="0.25">
      <c r="G68" s="21"/>
    </row>
    <row r="69" spans="1:23" x14ac:dyDescent="0.25">
      <c r="G69" s="21"/>
    </row>
    <row r="70" spans="1:23" x14ac:dyDescent="0.25">
      <c r="G70" s="21"/>
    </row>
    <row r="71" spans="1:23" x14ac:dyDescent="0.25">
      <c r="G71" s="21"/>
    </row>
    <row r="72" spans="1:23" x14ac:dyDescent="0.25">
      <c r="G72" s="21"/>
    </row>
    <row r="73" spans="1:23" x14ac:dyDescent="0.25">
      <c r="G73" s="21"/>
    </row>
    <row r="74" spans="1:23" x14ac:dyDescent="0.25">
      <c r="G74" s="21"/>
    </row>
    <row r="75" spans="1:23" x14ac:dyDescent="0.25">
      <c r="G75" s="21"/>
    </row>
    <row r="76" spans="1:23" x14ac:dyDescent="0.25">
      <c r="G76" s="21"/>
    </row>
    <row r="77" spans="1:23" s="20" customFormat="1" x14ac:dyDescent="0.25">
      <c r="A77" s="6"/>
      <c r="G77" s="21"/>
      <c r="K77" s="21"/>
      <c r="L77" s="21"/>
      <c r="S77"/>
      <c r="T77"/>
      <c r="U77"/>
      <c r="V77"/>
      <c r="W77"/>
    </row>
    <row r="78" spans="1:23" s="20" customFormat="1" x14ac:dyDescent="0.25">
      <c r="A78" s="6"/>
      <c r="G78" s="21"/>
      <c r="K78" s="21"/>
      <c r="L78" s="21"/>
      <c r="S78"/>
      <c r="T78"/>
      <c r="U78"/>
      <c r="V78"/>
      <c r="W78"/>
    </row>
    <row r="79" spans="1:23" s="20" customFormat="1" x14ac:dyDescent="0.25">
      <c r="A79" s="6"/>
      <c r="G79" s="21"/>
      <c r="K79" s="21"/>
      <c r="L79" s="21"/>
      <c r="S79"/>
      <c r="T79"/>
      <c r="U79"/>
      <c r="V79"/>
      <c r="W79"/>
    </row>
    <row r="80" spans="1:23" s="20" customFormat="1" x14ac:dyDescent="0.25">
      <c r="A80" s="6"/>
      <c r="G80" s="21"/>
      <c r="K80" s="21"/>
      <c r="L80" s="21"/>
      <c r="S80"/>
      <c r="T80"/>
      <c r="U80"/>
      <c r="V80"/>
      <c r="W80"/>
    </row>
    <row r="81" spans="1:23" s="20" customFormat="1" x14ac:dyDescent="0.25">
      <c r="A81" s="6"/>
      <c r="G81" s="21"/>
      <c r="K81" s="21"/>
      <c r="L81" s="21"/>
      <c r="S81"/>
      <c r="T81"/>
      <c r="U81"/>
      <c r="V81"/>
      <c r="W81"/>
    </row>
    <row r="82" spans="1:23" s="20" customFormat="1" x14ac:dyDescent="0.25">
      <c r="A82" s="6"/>
      <c r="G82" s="21"/>
      <c r="K82" s="21"/>
      <c r="L82" s="21"/>
      <c r="S82"/>
      <c r="T82"/>
      <c r="U82"/>
      <c r="V82"/>
      <c r="W82"/>
    </row>
    <row r="83" spans="1:23" s="20" customFormat="1" x14ac:dyDescent="0.25">
      <c r="A83" s="6"/>
      <c r="G83" s="21"/>
      <c r="K83" s="21"/>
      <c r="L83" s="21"/>
      <c r="S83"/>
      <c r="T83"/>
      <c r="U83"/>
      <c r="V83"/>
      <c r="W83"/>
    </row>
    <row r="84" spans="1:23" s="20" customFormat="1" x14ac:dyDescent="0.25">
      <c r="A84" s="6"/>
      <c r="G84" s="21"/>
      <c r="K84" s="21"/>
      <c r="L84" s="21"/>
      <c r="S84"/>
      <c r="T84"/>
      <c r="U84"/>
      <c r="V84"/>
      <c r="W84"/>
    </row>
    <row r="85" spans="1:23" s="20" customFormat="1" x14ac:dyDescent="0.25">
      <c r="A85" s="6"/>
      <c r="G85" s="21"/>
      <c r="K85" s="21"/>
      <c r="L85" s="21"/>
      <c r="S85"/>
      <c r="T85"/>
      <c r="U85"/>
      <c r="V85"/>
      <c r="W85"/>
    </row>
    <row r="86" spans="1:23" s="20" customFormat="1" x14ac:dyDescent="0.25">
      <c r="A86" s="6"/>
      <c r="G86" s="21"/>
      <c r="K86" s="21"/>
      <c r="L86" s="21"/>
      <c r="S86"/>
      <c r="T86"/>
      <c r="U86"/>
      <c r="V86"/>
      <c r="W86"/>
    </row>
    <row r="87" spans="1:23" s="20" customFormat="1" x14ac:dyDescent="0.25">
      <c r="A87" s="6"/>
      <c r="G87" s="21"/>
      <c r="K87" s="21"/>
      <c r="L87" s="21"/>
      <c r="S87"/>
      <c r="T87"/>
      <c r="U87"/>
      <c r="V87"/>
      <c r="W87"/>
    </row>
    <row r="88" spans="1:23" s="20" customFormat="1" x14ac:dyDescent="0.25">
      <c r="A88" s="6"/>
      <c r="G88" s="21"/>
      <c r="K88" s="21"/>
      <c r="L88" s="21"/>
      <c r="S88"/>
      <c r="T88"/>
      <c r="U88"/>
      <c r="V88"/>
      <c r="W88"/>
    </row>
    <row r="89" spans="1:23" s="20" customFormat="1" x14ac:dyDescent="0.25">
      <c r="A89" s="6"/>
      <c r="G89" s="21"/>
      <c r="K89" s="21"/>
      <c r="L89" s="21"/>
      <c r="S89"/>
      <c r="T89"/>
      <c r="U89"/>
      <c r="V89"/>
      <c r="W89"/>
    </row>
    <row r="90" spans="1:23" s="20" customFormat="1" x14ac:dyDescent="0.25">
      <c r="A90" s="6"/>
      <c r="G90" s="21"/>
      <c r="K90" s="21"/>
      <c r="L90" s="21"/>
      <c r="S90"/>
      <c r="T90"/>
      <c r="U90"/>
      <c r="V90"/>
      <c r="W90"/>
    </row>
    <row r="91" spans="1:23" s="20" customFormat="1" x14ac:dyDescent="0.25">
      <c r="A91" s="6"/>
      <c r="G91" s="21"/>
      <c r="K91" s="21"/>
      <c r="L91" s="21"/>
      <c r="S91"/>
      <c r="T91"/>
      <c r="U91"/>
      <c r="V91"/>
      <c r="W91"/>
    </row>
    <row r="92" spans="1:23" s="20" customFormat="1" x14ac:dyDescent="0.25">
      <c r="A92" s="6"/>
      <c r="G92" s="21"/>
      <c r="K92" s="21"/>
      <c r="L92" s="21"/>
      <c r="S92"/>
      <c r="T92"/>
      <c r="U92"/>
      <c r="V92"/>
      <c r="W92"/>
    </row>
    <row r="93" spans="1:23" s="20" customFormat="1" x14ac:dyDescent="0.25">
      <c r="A93" s="6"/>
      <c r="G93" s="21"/>
      <c r="K93" s="21"/>
      <c r="L93" s="21"/>
      <c r="S93"/>
      <c r="T93"/>
      <c r="U93"/>
      <c r="V93"/>
      <c r="W93"/>
    </row>
    <row r="94" spans="1:23" s="20" customFormat="1" x14ac:dyDescent="0.25">
      <c r="A94" s="6"/>
      <c r="G94" s="21"/>
      <c r="K94" s="21"/>
      <c r="L94" s="21"/>
      <c r="S94"/>
      <c r="T94"/>
      <c r="U94"/>
      <c r="V94"/>
      <c r="W94"/>
    </row>
    <row r="95" spans="1:23" s="20" customFormat="1" x14ac:dyDescent="0.25">
      <c r="A95" s="6"/>
      <c r="G95" s="21"/>
      <c r="K95" s="21"/>
      <c r="L95" s="21"/>
      <c r="S95"/>
      <c r="T95"/>
      <c r="U95"/>
      <c r="V95"/>
      <c r="W95"/>
    </row>
    <row r="96" spans="1:23" s="20" customFormat="1" x14ac:dyDescent="0.25">
      <c r="A96" s="6"/>
      <c r="G96" s="21"/>
      <c r="K96" s="21"/>
      <c r="L96" s="21"/>
      <c r="S96"/>
      <c r="T96"/>
      <c r="U96"/>
      <c r="V96"/>
      <c r="W96"/>
    </row>
    <row r="97" spans="1:23" s="20" customFormat="1" x14ac:dyDescent="0.25">
      <c r="A97" s="6"/>
      <c r="G97" s="21"/>
      <c r="K97" s="21"/>
      <c r="L97" s="21"/>
      <c r="S97"/>
      <c r="T97"/>
      <c r="U97"/>
      <c r="V97"/>
      <c r="W97"/>
    </row>
    <row r="98" spans="1:23" s="20" customFormat="1" x14ac:dyDescent="0.25">
      <c r="A98" s="6"/>
      <c r="G98" s="21"/>
      <c r="K98" s="21"/>
      <c r="L98" s="21"/>
      <c r="S98"/>
      <c r="T98"/>
      <c r="U98"/>
      <c r="V98"/>
      <c r="W98"/>
    </row>
    <row r="99" spans="1:23" s="20" customFormat="1" x14ac:dyDescent="0.25">
      <c r="A99" s="6"/>
      <c r="G99" s="21"/>
      <c r="K99" s="21"/>
      <c r="L99" s="21"/>
      <c r="S99"/>
      <c r="T99"/>
      <c r="U99"/>
      <c r="V99"/>
      <c r="W99"/>
    </row>
    <row r="100" spans="1:23" s="20" customFormat="1" x14ac:dyDescent="0.25">
      <c r="A100" s="6"/>
      <c r="G100" s="21"/>
      <c r="K100" s="21"/>
      <c r="L100" s="21"/>
      <c r="S100"/>
      <c r="T100"/>
      <c r="U100"/>
      <c r="V100"/>
      <c r="W100"/>
    </row>
    <row r="101" spans="1:23" s="20" customFormat="1" x14ac:dyDescent="0.25">
      <c r="A101" s="6"/>
      <c r="G101" s="21"/>
      <c r="K101" s="21"/>
      <c r="L101" s="21"/>
      <c r="S101"/>
      <c r="T101"/>
      <c r="U101"/>
      <c r="V101"/>
      <c r="W101"/>
    </row>
    <row r="102" spans="1:23" s="20" customFormat="1" x14ac:dyDescent="0.25">
      <c r="A102" s="6"/>
      <c r="G102" s="21"/>
      <c r="K102" s="21"/>
      <c r="L102" s="21"/>
      <c r="S102"/>
      <c r="T102"/>
      <c r="U102"/>
      <c r="V102"/>
      <c r="W102"/>
    </row>
    <row r="103" spans="1:23" s="20" customFormat="1" x14ac:dyDescent="0.25">
      <c r="A103" s="6"/>
      <c r="G103" s="21"/>
      <c r="K103" s="21"/>
      <c r="L103" s="21"/>
      <c r="S103"/>
      <c r="T103"/>
      <c r="U103"/>
      <c r="V103"/>
      <c r="W103"/>
    </row>
    <row r="104" spans="1:23" s="20" customFormat="1" x14ac:dyDescent="0.25">
      <c r="A104" s="6"/>
      <c r="G104" s="21"/>
      <c r="K104" s="21"/>
      <c r="L104" s="21"/>
      <c r="S104"/>
      <c r="T104"/>
      <c r="U104"/>
      <c r="V104"/>
      <c r="W104"/>
    </row>
    <row r="105" spans="1:23" s="20" customFormat="1" x14ac:dyDescent="0.25">
      <c r="A105" s="6"/>
      <c r="G105" s="21"/>
      <c r="K105" s="21"/>
      <c r="L105" s="21"/>
      <c r="S105"/>
      <c r="T105"/>
      <c r="U105"/>
      <c r="V105"/>
      <c r="W105"/>
    </row>
    <row r="106" spans="1:23" s="20" customFormat="1" x14ac:dyDescent="0.25">
      <c r="A106" s="6"/>
      <c r="G106" s="21"/>
      <c r="K106" s="21"/>
      <c r="L106" s="21"/>
      <c r="S106"/>
      <c r="T106"/>
      <c r="U106"/>
      <c r="V106"/>
      <c r="W106"/>
    </row>
    <row r="107" spans="1:23" s="20" customFormat="1" x14ac:dyDescent="0.25">
      <c r="A107" s="6"/>
      <c r="G107" s="21"/>
      <c r="K107" s="21"/>
      <c r="L107" s="21"/>
      <c r="S107"/>
      <c r="T107"/>
      <c r="U107"/>
      <c r="V107"/>
      <c r="W107"/>
    </row>
    <row r="108" spans="1:23" s="20" customFormat="1" x14ac:dyDescent="0.25">
      <c r="A108" s="6"/>
      <c r="G108" s="21"/>
      <c r="K108" s="21"/>
      <c r="L108" s="21"/>
      <c r="S108"/>
      <c r="T108"/>
      <c r="U108"/>
      <c r="V108"/>
      <c r="W108"/>
    </row>
    <row r="109" spans="1:23" s="20" customFormat="1" x14ac:dyDescent="0.25">
      <c r="A109" s="6"/>
      <c r="G109" s="21"/>
      <c r="K109" s="21"/>
      <c r="L109" s="21"/>
      <c r="S109"/>
      <c r="T109"/>
      <c r="U109"/>
      <c r="V109"/>
      <c r="W109"/>
    </row>
    <row r="110" spans="1:23" s="20" customFormat="1" x14ac:dyDescent="0.25">
      <c r="A110" s="6"/>
      <c r="G110" s="21"/>
      <c r="K110" s="21"/>
      <c r="L110" s="21"/>
      <c r="S110"/>
      <c r="T110"/>
      <c r="U110"/>
      <c r="V110"/>
      <c r="W110"/>
    </row>
    <row r="111" spans="1:23" s="20" customFormat="1" x14ac:dyDescent="0.25">
      <c r="A111" s="6"/>
      <c r="G111" s="21"/>
      <c r="K111" s="21"/>
      <c r="L111" s="21"/>
      <c r="S111"/>
      <c r="T111"/>
      <c r="U111"/>
      <c r="V111"/>
      <c r="W111"/>
    </row>
    <row r="112" spans="1:23" s="20" customFormat="1" x14ac:dyDescent="0.25">
      <c r="A112" s="6"/>
      <c r="G112" s="21"/>
      <c r="K112" s="21"/>
      <c r="L112" s="21"/>
      <c r="S112"/>
      <c r="T112"/>
      <c r="U112"/>
      <c r="V112"/>
      <c r="W112"/>
    </row>
    <row r="113" spans="1:23" s="20" customFormat="1" x14ac:dyDescent="0.25">
      <c r="A113" s="6"/>
      <c r="G113" s="21"/>
      <c r="K113" s="21"/>
      <c r="L113" s="21"/>
      <c r="S113"/>
      <c r="T113"/>
      <c r="U113"/>
      <c r="V113"/>
      <c r="W113"/>
    </row>
    <row r="114" spans="1:23" s="20" customFormat="1" x14ac:dyDescent="0.25">
      <c r="A114" s="6"/>
      <c r="G114" s="21"/>
      <c r="K114" s="21"/>
      <c r="L114" s="21"/>
      <c r="S114"/>
      <c r="T114"/>
      <c r="U114"/>
      <c r="V114"/>
      <c r="W114"/>
    </row>
    <row r="115" spans="1:23" s="20" customFormat="1" x14ac:dyDescent="0.25">
      <c r="A115" s="6"/>
      <c r="G115" s="21"/>
      <c r="K115" s="21"/>
      <c r="L115" s="21"/>
      <c r="S115"/>
      <c r="T115"/>
      <c r="U115"/>
      <c r="V115"/>
      <c r="W115"/>
    </row>
    <row r="116" spans="1:23" s="20" customFormat="1" x14ac:dyDescent="0.25">
      <c r="A116" s="6"/>
      <c r="G116" s="21"/>
      <c r="K116" s="21"/>
      <c r="L116" s="21"/>
      <c r="S116"/>
      <c r="T116"/>
      <c r="U116"/>
      <c r="V116"/>
      <c r="W116"/>
    </row>
    <row r="117" spans="1:23" s="20" customFormat="1" x14ac:dyDescent="0.25">
      <c r="A117" s="6"/>
      <c r="G117" s="21"/>
      <c r="K117" s="21"/>
      <c r="L117" s="21"/>
      <c r="S117"/>
      <c r="T117"/>
      <c r="U117"/>
      <c r="V117"/>
      <c r="W117"/>
    </row>
    <row r="118" spans="1:23" s="20" customFormat="1" x14ac:dyDescent="0.25">
      <c r="A118" s="6"/>
      <c r="G118" s="21"/>
      <c r="K118" s="21"/>
      <c r="L118" s="21"/>
      <c r="S118"/>
      <c r="T118"/>
      <c r="U118"/>
      <c r="V118"/>
      <c r="W118"/>
    </row>
    <row r="119" spans="1:23" s="20" customFormat="1" x14ac:dyDescent="0.25">
      <c r="A119" s="6"/>
      <c r="G119" s="21"/>
      <c r="K119" s="21"/>
      <c r="L119" s="21"/>
      <c r="S119"/>
      <c r="T119"/>
      <c r="U119"/>
      <c r="V119"/>
      <c r="W119"/>
    </row>
    <row r="120" spans="1:23" s="20" customFormat="1" x14ac:dyDescent="0.25">
      <c r="A120" s="6"/>
      <c r="G120" s="21"/>
      <c r="K120" s="21"/>
      <c r="L120" s="21"/>
      <c r="S120"/>
      <c r="T120"/>
      <c r="U120"/>
      <c r="V120"/>
      <c r="W120"/>
    </row>
    <row r="121" spans="1:23" s="20" customFormat="1" x14ac:dyDescent="0.25">
      <c r="A121" s="6"/>
      <c r="G121" s="21"/>
      <c r="K121" s="21"/>
      <c r="L121" s="21"/>
      <c r="S121"/>
      <c r="T121"/>
      <c r="U121"/>
      <c r="V121"/>
      <c r="W121"/>
    </row>
    <row r="122" spans="1:23" s="20" customFormat="1" x14ac:dyDescent="0.25">
      <c r="A122" s="6"/>
      <c r="G122" s="21"/>
      <c r="K122" s="21"/>
      <c r="L122" s="21"/>
      <c r="S122"/>
      <c r="T122"/>
      <c r="U122"/>
      <c r="V122"/>
      <c r="W122"/>
    </row>
    <row r="123" spans="1:23" s="20" customFormat="1" x14ac:dyDescent="0.25">
      <c r="A123" s="6"/>
      <c r="G123" s="21"/>
      <c r="K123" s="21"/>
      <c r="L123" s="21"/>
      <c r="S123"/>
      <c r="T123"/>
      <c r="U123"/>
      <c r="V123"/>
      <c r="W123"/>
    </row>
    <row r="124" spans="1:23" s="20" customFormat="1" x14ac:dyDescent="0.25">
      <c r="A124" s="6"/>
      <c r="G124" s="21"/>
      <c r="K124" s="21"/>
      <c r="L124" s="21"/>
      <c r="S124"/>
      <c r="T124"/>
      <c r="U124"/>
      <c r="V124"/>
      <c r="W124"/>
    </row>
    <row r="125" spans="1:23" s="20" customFormat="1" x14ac:dyDescent="0.25">
      <c r="A125" s="6"/>
      <c r="G125" s="21"/>
      <c r="K125" s="21"/>
      <c r="L125" s="21"/>
      <c r="S125"/>
      <c r="T125"/>
      <c r="U125"/>
      <c r="V125"/>
      <c r="W125"/>
    </row>
    <row r="126" spans="1:23" s="20" customFormat="1" x14ac:dyDescent="0.25">
      <c r="A126" s="6"/>
      <c r="G126" s="21"/>
      <c r="K126" s="21"/>
      <c r="L126" s="21"/>
      <c r="S126"/>
      <c r="T126"/>
      <c r="U126"/>
      <c r="V126"/>
      <c r="W126"/>
    </row>
    <row r="127" spans="1:23" s="20" customFormat="1" x14ac:dyDescent="0.25">
      <c r="A127" s="6"/>
      <c r="G127" s="21"/>
      <c r="K127" s="21"/>
      <c r="L127" s="21"/>
      <c r="S127"/>
      <c r="T127"/>
      <c r="U127"/>
      <c r="V127"/>
      <c r="W127"/>
    </row>
    <row r="128" spans="1:23" s="20" customFormat="1" x14ac:dyDescent="0.25">
      <c r="A128" s="6"/>
      <c r="G128" s="21"/>
      <c r="K128" s="21"/>
      <c r="L128" s="21"/>
      <c r="S128"/>
      <c r="T128"/>
      <c r="U128"/>
      <c r="V128"/>
      <c r="W128"/>
    </row>
    <row r="129" spans="1:23" s="20" customFormat="1" x14ac:dyDescent="0.25">
      <c r="A129" s="6"/>
      <c r="G129" s="21"/>
      <c r="K129" s="21"/>
      <c r="L129" s="21"/>
      <c r="S129"/>
      <c r="T129"/>
      <c r="U129"/>
      <c r="V129"/>
      <c r="W129"/>
    </row>
    <row r="130" spans="1:23" s="20" customFormat="1" x14ac:dyDescent="0.25">
      <c r="A130" s="6"/>
      <c r="G130" s="21"/>
      <c r="K130" s="21"/>
      <c r="L130" s="21"/>
      <c r="S130"/>
      <c r="T130"/>
      <c r="U130"/>
      <c r="V130"/>
      <c r="W130"/>
    </row>
    <row r="131" spans="1:23" s="20" customFormat="1" x14ac:dyDescent="0.25">
      <c r="A131" s="6"/>
      <c r="G131" s="21"/>
      <c r="K131" s="21"/>
      <c r="L131" s="21"/>
      <c r="S131"/>
      <c r="T131"/>
      <c r="U131"/>
      <c r="V131"/>
      <c r="W131"/>
    </row>
    <row r="132" spans="1:23" s="20" customFormat="1" x14ac:dyDescent="0.25">
      <c r="A132" s="6"/>
      <c r="G132" s="21"/>
      <c r="K132" s="21"/>
      <c r="L132" s="21"/>
      <c r="S132"/>
      <c r="T132"/>
      <c r="U132"/>
      <c r="V132"/>
      <c r="W132"/>
    </row>
    <row r="133" spans="1:23" s="20" customFormat="1" x14ac:dyDescent="0.25">
      <c r="A133" s="6"/>
      <c r="G133" s="21"/>
      <c r="K133" s="21"/>
      <c r="L133" s="21"/>
      <c r="S133"/>
      <c r="T133"/>
      <c r="U133"/>
      <c r="V133"/>
      <c r="W133"/>
    </row>
    <row r="134" spans="1:23" s="20" customFormat="1" x14ac:dyDescent="0.25">
      <c r="A134" s="6"/>
      <c r="G134" s="21"/>
      <c r="K134" s="21"/>
      <c r="L134" s="21"/>
      <c r="S134"/>
      <c r="T134"/>
      <c r="U134"/>
      <c r="V134"/>
      <c r="W134"/>
    </row>
    <row r="135" spans="1:23" s="20" customFormat="1" x14ac:dyDescent="0.25">
      <c r="A135" s="6"/>
      <c r="G135" s="21"/>
      <c r="K135" s="21"/>
      <c r="L135" s="21"/>
      <c r="S135"/>
      <c r="T135"/>
      <c r="U135"/>
      <c r="V135"/>
      <c r="W135"/>
    </row>
    <row r="136" spans="1:23" s="20" customFormat="1" x14ac:dyDescent="0.25">
      <c r="A136" s="6"/>
      <c r="G136" s="21"/>
      <c r="K136" s="21"/>
      <c r="L136" s="21"/>
      <c r="S136"/>
      <c r="T136"/>
      <c r="U136"/>
      <c r="V136"/>
      <c r="W136"/>
    </row>
    <row r="137" spans="1:23" s="20" customFormat="1" x14ac:dyDescent="0.25">
      <c r="A137" s="6"/>
      <c r="G137" s="21"/>
      <c r="K137" s="21"/>
      <c r="L137" s="21"/>
      <c r="S137"/>
      <c r="T137"/>
      <c r="U137"/>
      <c r="V137"/>
      <c r="W137"/>
    </row>
    <row r="138" spans="1:23" s="20" customFormat="1" x14ac:dyDescent="0.25">
      <c r="A138" s="6"/>
      <c r="G138" s="21"/>
      <c r="K138" s="21"/>
      <c r="L138" s="21"/>
      <c r="S138"/>
      <c r="T138"/>
      <c r="U138"/>
      <c r="V138"/>
      <c r="W138"/>
    </row>
    <row r="139" spans="1:23" s="20" customFormat="1" x14ac:dyDescent="0.25">
      <c r="A139" s="6"/>
      <c r="G139" s="21"/>
      <c r="K139" s="21"/>
      <c r="L139" s="21"/>
      <c r="S139"/>
      <c r="T139"/>
      <c r="U139"/>
      <c r="V139"/>
      <c r="W139"/>
    </row>
    <row r="140" spans="1:23" s="20" customFormat="1" x14ac:dyDescent="0.25">
      <c r="A140" s="6"/>
      <c r="G140" s="21"/>
      <c r="K140" s="21"/>
      <c r="L140" s="21"/>
      <c r="S140"/>
      <c r="T140"/>
      <c r="U140"/>
      <c r="V140"/>
      <c r="W140"/>
    </row>
    <row r="141" spans="1:23" s="20" customFormat="1" x14ac:dyDescent="0.25">
      <c r="A141" s="6"/>
      <c r="G141" s="21"/>
      <c r="K141" s="21"/>
      <c r="L141" s="21"/>
      <c r="S141"/>
      <c r="T141"/>
      <c r="U141"/>
      <c r="V141"/>
      <c r="W141"/>
    </row>
    <row r="142" spans="1:23" s="20" customFormat="1" x14ac:dyDescent="0.25">
      <c r="A142" s="6"/>
      <c r="G142" s="21"/>
      <c r="K142" s="21"/>
      <c r="L142" s="21"/>
      <c r="S142"/>
      <c r="T142"/>
      <c r="U142"/>
      <c r="V142"/>
      <c r="W142"/>
    </row>
    <row r="143" spans="1:23" s="20" customFormat="1" x14ac:dyDescent="0.25">
      <c r="A143" s="6"/>
      <c r="G143" s="21"/>
      <c r="K143" s="21"/>
      <c r="L143" s="21"/>
      <c r="S143"/>
      <c r="T143"/>
      <c r="U143"/>
      <c r="V143"/>
      <c r="W143"/>
    </row>
    <row r="144" spans="1:23" s="20" customFormat="1" x14ac:dyDescent="0.25">
      <c r="A144" s="6"/>
      <c r="G144" s="21"/>
      <c r="K144" s="21"/>
      <c r="L144" s="21"/>
      <c r="S144"/>
      <c r="T144"/>
      <c r="U144"/>
      <c r="V144"/>
      <c r="W144"/>
    </row>
    <row r="145" spans="1:23" s="20" customFormat="1" x14ac:dyDescent="0.25">
      <c r="A145" s="6"/>
      <c r="G145" s="21"/>
      <c r="K145" s="21"/>
      <c r="L145" s="21"/>
      <c r="S145"/>
      <c r="T145"/>
      <c r="U145"/>
      <c r="V145"/>
      <c r="W145"/>
    </row>
    <row r="146" spans="1:23" s="20" customFormat="1" x14ac:dyDescent="0.25">
      <c r="A146" s="6"/>
      <c r="G146" s="21"/>
      <c r="K146" s="21"/>
      <c r="L146" s="21"/>
      <c r="S146"/>
      <c r="T146"/>
      <c r="U146"/>
      <c r="V146"/>
      <c r="W146"/>
    </row>
    <row r="147" spans="1:23" s="20" customFormat="1" x14ac:dyDescent="0.25">
      <c r="A147" s="6"/>
      <c r="G147" s="21"/>
      <c r="K147" s="21"/>
      <c r="L147" s="21"/>
      <c r="S147"/>
      <c r="T147"/>
      <c r="U147"/>
      <c r="V147"/>
      <c r="W147"/>
    </row>
    <row r="148" spans="1:23" s="20" customFormat="1" x14ac:dyDescent="0.25">
      <c r="A148" s="6"/>
      <c r="G148" s="21"/>
      <c r="K148" s="21"/>
      <c r="L148" s="21"/>
      <c r="S148"/>
      <c r="T148"/>
      <c r="U148"/>
      <c r="V148"/>
      <c r="W148"/>
    </row>
    <row r="149" spans="1:23" s="20" customFormat="1" x14ac:dyDescent="0.25">
      <c r="A149" s="6"/>
      <c r="G149" s="21"/>
      <c r="K149" s="21"/>
      <c r="L149" s="21"/>
      <c r="S149"/>
      <c r="T149"/>
      <c r="U149"/>
      <c r="V149"/>
      <c r="W149"/>
    </row>
    <row r="150" spans="1:23" s="20" customFormat="1" x14ac:dyDescent="0.25">
      <c r="A150" s="6"/>
      <c r="G150" s="21"/>
      <c r="K150" s="21"/>
      <c r="L150" s="21"/>
      <c r="S150"/>
      <c r="T150"/>
      <c r="U150"/>
      <c r="V150"/>
      <c r="W150"/>
    </row>
    <row r="151" spans="1:23" s="20" customFormat="1" x14ac:dyDescent="0.25">
      <c r="A151" s="6"/>
      <c r="G151" s="21"/>
      <c r="K151" s="21"/>
      <c r="L151" s="21"/>
      <c r="S151"/>
      <c r="T151"/>
      <c r="U151"/>
      <c r="V151"/>
      <c r="W151"/>
    </row>
    <row r="152" spans="1:23" s="20" customFormat="1" x14ac:dyDescent="0.25">
      <c r="A152" s="6"/>
      <c r="G152" s="21"/>
      <c r="K152" s="21"/>
      <c r="L152" s="21"/>
      <c r="S152"/>
      <c r="T152"/>
      <c r="U152"/>
      <c r="V152"/>
      <c r="W152"/>
    </row>
    <row r="153" spans="1:23" s="20" customFormat="1" x14ac:dyDescent="0.25">
      <c r="A153" s="6"/>
      <c r="G153" s="21"/>
      <c r="K153" s="21"/>
      <c r="L153" s="21"/>
      <c r="S153"/>
      <c r="T153"/>
      <c r="U153"/>
      <c r="V153"/>
      <c r="W153"/>
    </row>
    <row r="154" spans="1:23" s="20" customFormat="1" x14ac:dyDescent="0.25">
      <c r="A154" s="6"/>
      <c r="G154" s="21"/>
      <c r="K154" s="21"/>
      <c r="L154" s="21"/>
      <c r="S154"/>
      <c r="T154"/>
      <c r="U154"/>
      <c r="V154"/>
      <c r="W154"/>
    </row>
    <row r="155" spans="1:23" s="20" customFormat="1" x14ac:dyDescent="0.25">
      <c r="A155" s="6"/>
      <c r="G155" s="21"/>
      <c r="K155" s="21"/>
      <c r="L155" s="21"/>
      <c r="S155"/>
      <c r="T155"/>
      <c r="U155"/>
      <c r="V155"/>
      <c r="W155"/>
    </row>
    <row r="156" spans="1:23" s="20" customFormat="1" x14ac:dyDescent="0.25">
      <c r="A156" s="6"/>
      <c r="G156" s="21"/>
      <c r="K156" s="21"/>
      <c r="L156" s="21"/>
      <c r="S156"/>
      <c r="T156"/>
      <c r="U156"/>
      <c r="V156"/>
      <c r="W156"/>
    </row>
    <row r="157" spans="1:23" s="20" customFormat="1" x14ac:dyDescent="0.25">
      <c r="A157" s="6"/>
      <c r="G157" s="21"/>
      <c r="K157" s="21"/>
      <c r="L157" s="21"/>
      <c r="S157"/>
      <c r="T157"/>
      <c r="U157"/>
      <c r="V157"/>
      <c r="W157"/>
    </row>
    <row r="158" spans="1:23" s="20" customFormat="1" x14ac:dyDescent="0.25">
      <c r="A158" s="6"/>
      <c r="G158" s="21"/>
      <c r="K158" s="21"/>
      <c r="L158" s="21"/>
      <c r="S158"/>
      <c r="T158"/>
      <c r="U158"/>
      <c r="V158"/>
      <c r="W158"/>
    </row>
    <row r="159" spans="1:23" s="20" customFormat="1" x14ac:dyDescent="0.25">
      <c r="A159" s="6"/>
      <c r="G159" s="21"/>
      <c r="K159" s="21"/>
      <c r="L159" s="21"/>
      <c r="S159"/>
      <c r="T159"/>
      <c r="U159"/>
      <c r="V159"/>
      <c r="W159"/>
    </row>
    <row r="160" spans="1:23" s="20" customFormat="1" x14ac:dyDescent="0.25">
      <c r="A160" s="6"/>
      <c r="G160" s="21"/>
      <c r="K160" s="21"/>
      <c r="L160" s="21"/>
      <c r="S160"/>
      <c r="T160"/>
      <c r="U160"/>
      <c r="V160"/>
      <c r="W160"/>
    </row>
    <row r="161" spans="1:23" s="20" customFormat="1" x14ac:dyDescent="0.25">
      <c r="A161" s="6"/>
      <c r="G161" s="21"/>
      <c r="K161" s="21"/>
      <c r="L161" s="21"/>
      <c r="S161"/>
      <c r="T161"/>
      <c r="U161"/>
      <c r="V161"/>
      <c r="W161"/>
    </row>
    <row r="162" spans="1:23" s="20" customFormat="1" x14ac:dyDescent="0.25">
      <c r="A162" s="6"/>
      <c r="G162" s="21"/>
      <c r="K162" s="21"/>
      <c r="L162" s="21"/>
      <c r="S162"/>
      <c r="T162"/>
      <c r="U162"/>
      <c r="V162"/>
      <c r="W162"/>
    </row>
    <row r="163" spans="1:23" s="20" customFormat="1" x14ac:dyDescent="0.25">
      <c r="A163" s="6"/>
      <c r="G163" s="21"/>
      <c r="K163" s="21"/>
      <c r="L163" s="21"/>
      <c r="S163"/>
      <c r="T163"/>
      <c r="U163"/>
      <c r="V163"/>
      <c r="W163"/>
    </row>
    <row r="164" spans="1:23" s="20" customFormat="1" x14ac:dyDescent="0.25">
      <c r="A164" s="6"/>
      <c r="G164" s="21"/>
      <c r="K164" s="21"/>
      <c r="L164" s="21"/>
      <c r="S164"/>
      <c r="T164"/>
      <c r="U164"/>
      <c r="V164"/>
      <c r="W164"/>
    </row>
    <row r="165" spans="1:23" s="20" customFormat="1" x14ac:dyDescent="0.25">
      <c r="A165" s="6"/>
      <c r="G165" s="21"/>
      <c r="K165" s="21"/>
      <c r="L165" s="21"/>
      <c r="S165"/>
      <c r="T165"/>
      <c r="U165"/>
      <c r="V165"/>
      <c r="W165"/>
    </row>
    <row r="166" spans="1:23" s="20" customFormat="1" x14ac:dyDescent="0.25">
      <c r="A166" s="6"/>
      <c r="K166" s="21"/>
      <c r="L166" s="21"/>
      <c r="S166"/>
      <c r="T166"/>
      <c r="U166"/>
      <c r="V166"/>
      <c r="W166"/>
    </row>
    <row r="167" spans="1:23" s="20" customFormat="1" x14ac:dyDescent="0.25">
      <c r="A167" s="6"/>
      <c r="K167" s="21"/>
      <c r="L167" s="21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 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2025-06-11T16:15:36Z</cp:lastPrinted>
  <dcterms:created xsi:type="dcterms:W3CDTF">2022-01-10T16:49:23Z</dcterms:created>
  <dcterms:modified xsi:type="dcterms:W3CDTF">2026-10-14T16:47:00Z</dcterms:modified>
</cp:coreProperties>
</file>