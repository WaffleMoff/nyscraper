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MOBILE SPORTS WAGERING\11_Weekly Web Reports\"/>
    </mc:Choice>
  </mc:AlternateContent>
  <xr:revisionPtr revIDLastSave="0" documentId="13_ncr:1_{E5CA1F80-E5E7-4616-8305-CB11D364AA73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22-23'!$A$1:$J$72</definedName>
    <definedName name="_xlnm.Print_Area" localSheetId="3">'FY 23-24'!$A$1:$J$74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<sst xmlns="http://schemas.openxmlformats.org/spreadsheetml/2006/main" count="86" uniqueCount="20">
  <si>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</si>
  <si>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</si>
  <si>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</si>
  <si>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</si>
  <si>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</si>
  <si>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</si>
  <si>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</si>
  <si>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</si>
  <si>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</si>
  <si>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</si>
  <si>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PointsBet</t>
  </si>
  <si>
    <t xml:space="preserve">2) Mobile Sports Wagering Gross Gaming Revenue (GGR) is taxed at 51%. </t>
  </si>
  <si>
    <t>3) PointsBet Sportsbook began operating in NY on 1/24/22.</t>
  </si>
  <si>
    <t xml:space="preserve"> Fiscal Year 2022/2023</t>
  </si>
  <si>
    <t xml:space="preserve"> Fiscal Year 2023/2024</t>
  </si>
  <si>
    <t>Report compiled by the New York State Gaming Commission based on data provided by Fanatics</t>
  </si>
  <si>
    <t>3) Points Bet is doing business as Fanatics as of week ending 03/03/2024.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</si>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</sst>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38" fontId="8" fillId="0" borderId="0" xfId="0" applyNumberFormat="1" applyFont="1" applyAlignment="1">
      <alignment horizontal="center" vertical="center" wrapText="1"/>
    </xf>
    <xf numFmtId="6" fontId="1" fillId="0" borderId="0" xfId="0" applyNumberFormat="1" applyFont="1"/>
    <xf numFmtId="5" fontId="0" fillId="0" borderId="0" xfId="0" applyNumberFormat="1"/>
    <xf numFmtId="166" fontId="10" fillId="0" borderId="0" xfId="0" applyNumberFormat="1" applyFont="1" applyAlignment="1">
      <alignment horizontal="left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6" fontId="1" fillId="0" borderId="0" xfId="0" applyNumberFormat="1" applyFont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94DA60-2C33-44DC-9439-053038AE5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E0B96D-E2F1-4923-B6E0-8C2736A81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D5F897-ED4D-48BE-922F-957844698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9CE30B5C-6FFC-36C7-57DC-15B83AE34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9525</xdr:rowOff>
    </xdr:from>
    <xdr:to>
      <xdr:col>1</xdr:col>
      <xdr:colOff>764535</xdr:colOff>
      <xdr:row>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303828-98B7-430D-8745-72BF726682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209550"/>
          <a:ext cx="146939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76200</xdr:rowOff>
    </xdr:from>
    <xdr:to>
      <xdr:col>1</xdr:col>
      <xdr:colOff>764540</xdr:colOff>
      <xdr:row>3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DC6584-895D-4F08-84FA-DFACBB96A93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76225"/>
          <a:ext cx="146939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CDBA-7076-4044-A781-CE38C8A6A840}">
  <sheetPr>
    <pageSetUpPr fitToPage="1"/>
  </sheetPr>
  <dimension ref="A1:X208"/>
  <sheetViews>
    <sheetView tabSelected="1" zoomScaleNormal="100" workbookViewId="0">
      <pane xSplit="2" ySplit="12" topLeftCell="C28" activePane="bottomRight" state="frozen"/>
      <selection activeCell="B33" sqref="B33"/>
      <selection pane="topRight" activeCell="B33" sqref="B33"/>
      <selection pane="bottomLeft" activeCell="B33" sqref="B33"/>
      <selection pane="bottomRight" activeCell="C35" sqref="C3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19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66407012.519999981</v>
      </c>
      <c r="F13" s="33">
        <v>3410022.9499999946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68173691.400000006</v>
      </c>
      <c r="F14" s="33">
        <v>5578738.5599999884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62637677.439999998</v>
      </c>
      <c r="F15" s="33">
        <v>5719764.1999999946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57513030.280000001</v>
      </c>
      <c r="F16" s="33">
        <v>5346010.2300000014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60625324.140000001</v>
      </c>
      <c r="F17" s="33">
        <v>5765685.800000011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53814482.190000005</v>
      </c>
      <c r="F18" s="33">
        <v>2663170.4599999972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58096625.920000002</v>
      </c>
      <c r="F19" s="33">
        <v>6507925.8299999982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48775445.550000004</v>
      </c>
      <c r="F20" s="33">
        <v>5668233.540000001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56707463.980000004</v>
      </c>
      <c r="F21" s="33">
        <v>2686435.3399999989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61135469.050000004</v>
      </c>
      <c r="F22" s="33">
        <v>3296356.7900000047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56847548.190000005</v>
      </c>
      <c r="F23" s="33">
        <v>4335792.9399999976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67325790.710000008</v>
      </c>
      <c r="F24" s="33">
        <v>-5819761.9599999953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64128131.379999995</v>
      </c>
      <c r="F25" s="33">
        <v>3055347.2899999963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59305990.300000004</v>
      </c>
      <c r="F26" s="33">
        <v>5238537.9400000004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62287631.07</v>
      </c>
      <c r="F27" s="33">
        <v>3223781.4599999962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51411108.370000005</v>
      </c>
      <c r="F28" s="33">
        <v>7470125.049999998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48553127.99000001</v>
      </c>
      <c r="F29" s="33">
        <v>4987561.0699999975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45125668.280000001</v>
      </c>
      <c r="F30" s="33">
        <v>2828134.650000006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43379500.639999993</v>
      </c>
      <c r="F31" s="33">
        <v>5473675.3200000003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48494522.630000003</v>
      </c>
      <c r="F32" s="33">
        <v>4176190.2500000028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43618315.200000003</v>
      </c>
      <c r="F33" s="33">
        <v>4332991.0700000068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47701558.479999989</v>
      </c>
      <c r="F34" s="33">
        <v>3476355.859999992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33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3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3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3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3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3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3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1232065115.7100003</v>
      </c>
      <c r="F67" s="23">
        <f>SUM(F13:F66)</f>
        <v>89421074.639999986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52EA-D246-44DC-AEDB-115C1DEDC2DD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18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40897122.509999998</v>
      </c>
      <c r="F13" s="21">
        <v>787496.1399999992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50842344.43</v>
      </c>
      <c r="F14" s="21">
        <v>4105951.9399999995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38652229.589999996</v>
      </c>
      <c r="F15" s="21">
        <v>3470252.12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40733930.400000006</v>
      </c>
      <c r="F16" s="21">
        <v>1176673.4300000006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40261577.809999995</v>
      </c>
      <c r="F17" s="21">
        <v>4452288.51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35596001.859999999</v>
      </c>
      <c r="F18" s="21">
        <v>3057994.1899999939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50903577.980000004</v>
      </c>
      <c r="F19" s="21">
        <v>1942521.8999999948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42513066.179999992</v>
      </c>
      <c r="F20" s="21">
        <v>3734352.8999999985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36609804.520000003</v>
      </c>
      <c r="F21" s="21">
        <v>4402283.2399999946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41365964.039999999</v>
      </c>
      <c r="F22" s="21">
        <v>5010407.0899999961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36573851.590000004</v>
      </c>
      <c r="F23" s="21">
        <v>4362002.299999997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34888612.109999999</v>
      </c>
      <c r="F24" s="21">
        <v>4396221.7399999965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37407640.5</v>
      </c>
      <c r="F25" s="21">
        <v>5026926.3599999994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34189828.240000002</v>
      </c>
      <c r="F26" s="21">
        <v>2620564.8999999957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31385582.509999998</v>
      </c>
      <c r="F27" s="21">
        <v>3544846.0900000012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30612935.739999998</v>
      </c>
      <c r="F28" s="21">
        <v>2859671.2700000009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28205327.009999998</v>
      </c>
      <c r="F29" s="21">
        <v>3168476.3100000015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31351798.789999999</v>
      </c>
      <c r="F30" s="21">
        <v>3701391.0199999991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46701890.649999999</v>
      </c>
      <c r="F31" s="33">
        <v>-3831760.3500000043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32863231.760000002</v>
      </c>
      <c r="F32" s="21">
        <v>3743963.8000000012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147334257.72999999</v>
      </c>
      <c r="F33" s="21">
        <v>2689314.7700000089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212741599.97999996</v>
      </c>
      <c r="F34" s="21">
        <v>441167.32000000775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145833764.22</v>
      </c>
      <c r="F35" s="21">
        <v>14800685.45999999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51947456.539999999</v>
      </c>
      <c r="F36" s="21">
        <v>5925990.4300000062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65955964.920000002</v>
      </c>
      <c r="F37" s="21">
        <v>5530435.3599999901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44954227.700000003</v>
      </c>
      <c r="F38" s="21">
        <v>4265687.7199999969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45466571.850000001</v>
      </c>
      <c r="F39" s="21">
        <v>4480203.8600000013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48563581.479999997</v>
      </c>
      <c r="F40" s="21">
        <v>2434873.8200000026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43028252.189999998</v>
      </c>
      <c r="F41" s="33">
        <v>4722897.3699999964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45112559.230000012</v>
      </c>
      <c r="F42" s="21">
        <v>2746494.2500000135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50369513.910000011</v>
      </c>
      <c r="F43" s="21">
        <v>5148191.4700000109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50297411.509999998</v>
      </c>
      <c r="F44" s="21">
        <v>5302084.7400000114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45131481.279999994</v>
      </c>
      <c r="F45" s="21">
        <v>5509680.0199999977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44220257.010000005</v>
      </c>
      <c r="F46" s="21">
        <v>4967778.0600000005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47081212.609999999</v>
      </c>
      <c r="F47" s="21">
        <v>4841338.3700000048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51680516</v>
      </c>
      <c r="F48" s="21">
        <v>6197653.4999999925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45618405.560000002</v>
      </c>
      <c r="F49" s="21">
        <v>4649088.4300000053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47972661.180000007</v>
      </c>
      <c r="F50" s="21">
        <v>193784.0100000021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50571102.420000002</v>
      </c>
      <c r="F51" s="21">
        <v>5883210.1099999994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43895745.800000004</v>
      </c>
      <c r="F52" s="21">
        <v>5290328.9100000011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47144980</v>
      </c>
      <c r="F53" s="21">
        <v>7311625.7300000014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45835374.100000001</v>
      </c>
      <c r="F54" s="21">
        <v>4006831.2100000014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45851414.959999993</v>
      </c>
      <c r="F55" s="21">
        <v>6227929.8400000054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56747152.349999994</v>
      </c>
      <c r="F56" s="21">
        <v>2590601.9299999997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54996038.119999997</v>
      </c>
      <c r="F57" s="21">
        <v>4813747.4999999879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56617313.410000004</v>
      </c>
      <c r="F58" s="21">
        <v>2905748.91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51753429.18999999</v>
      </c>
      <c r="F59" s="21">
        <v>2833908.2199999942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51705941.440000005</v>
      </c>
      <c r="F60" s="21">
        <v>3471519.6800000034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59831401.049999997</v>
      </c>
      <c r="F61" s="21">
        <v>4480673.78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65169959.189999998</v>
      </c>
      <c r="F62" s="21">
        <v>3100533.4100000011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70149013.390000001</v>
      </c>
      <c r="F63" s="21">
        <v>3602830.7399999928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74727529.75</v>
      </c>
      <c r="F64" s="21">
        <v>4523851.3100000042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2770862408.29</v>
      </c>
      <c r="F67" s="23">
        <f>SUM(F13:F66)</f>
        <v>207623215.14000002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9E1A-18E6-418B-8248-BADA24EC1778}">
  <sheetPr>
    <pageSetUpPr fitToPage="1"/>
  </sheetPr>
  <dimension ref="A1:X208"/>
  <sheetViews>
    <sheetView zoomScaleNormal="100" workbookViewId="0">
      <pane xSplit="2" ySplit="12" topLeftCell="C43" activePane="bottomRight" state="frozen"/>
      <selection activeCell="B33" sqref="B33"/>
      <selection pane="topRight" activeCell="B33" sqref="B33"/>
      <selection pane="bottomLeft" activeCell="B33" sqref="B33"/>
      <selection pane="bottomRight" activeCell="J61" sqref="J6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15854381.539999999</v>
      </c>
      <c r="F13" s="21">
        <v>1249452.0200000023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17918071.100000001</v>
      </c>
      <c r="F14" s="21">
        <v>1602578.4899999993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17127326.27</v>
      </c>
      <c r="F15" s="21">
        <v>634925.89999999967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17929192.359999999</v>
      </c>
      <c r="F16" s="21">
        <v>1742265.1800000009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16127605.059999999</v>
      </c>
      <c r="F17" s="21">
        <v>1309409.689999999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18067508.080000002</v>
      </c>
      <c r="F18" s="21">
        <v>759187.70000000019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16429493.179999998</v>
      </c>
      <c r="F19" s="21">
        <v>1268216.3699999982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17332587.73</v>
      </c>
      <c r="F20" s="21">
        <v>1949887.8100000005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14940336.089999998</v>
      </c>
      <c r="F21" s="21">
        <v>2037374.1799999992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15045666.260000002</v>
      </c>
      <c r="F22" s="21">
        <v>1142630.4500000007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14102295.51</v>
      </c>
      <c r="F23" s="21">
        <v>1414148.1199999996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14952211.210000001</v>
      </c>
      <c r="F24" s="21">
        <v>1616523.4699999995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16605186.470000001</v>
      </c>
      <c r="F25" s="21">
        <v>1959513.8500000003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16539276.619999999</v>
      </c>
      <c r="F26" s="21">
        <v>1839174.9899999995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16909191.049999997</v>
      </c>
      <c r="F27" s="21">
        <v>954288.97999999928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18284495.43</v>
      </c>
      <c r="F28" s="21">
        <v>3220725.54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14209110.099999998</v>
      </c>
      <c r="F29" s="21">
        <v>1698325.4699999993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17886763.59</v>
      </c>
      <c r="F30" s="21">
        <v>2444249.4700000007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19653201.019999996</v>
      </c>
      <c r="F31" s="21">
        <v>1419237.5099999979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19775076.540000003</v>
      </c>
      <c r="F32" s="21">
        <v>1502822.110000001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21940502.509999998</v>
      </c>
      <c r="F33" s="21">
        <v>2811682.1399999997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19563320.859999999</v>
      </c>
      <c r="F34" s="21">
        <v>1254109.6300000004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24948259.300000001</v>
      </c>
      <c r="F35" s="21">
        <v>2209213.77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27969305.010000002</v>
      </c>
      <c r="F36" s="21">
        <v>1733179.8799999997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31289229.419999998</v>
      </c>
      <c r="F37" s="21">
        <v>2957354.4299999983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36986263.530000001</v>
      </c>
      <c r="F38" s="21">
        <v>1360487.3699999978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38988615.68</v>
      </c>
      <c r="F39" s="21">
        <v>2261094.010000004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43059582.910000004</v>
      </c>
      <c r="F40" s="21">
        <v>3198550.1600000011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37758608.50999999</v>
      </c>
      <c r="F41" s="33">
        <v>-1433088.9300000016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40314664.220000006</v>
      </c>
      <c r="F42" s="21">
        <v>2257302.340000004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41703433.200000003</v>
      </c>
      <c r="F43" s="21">
        <v>5320965.200000003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39251365.490000002</v>
      </c>
      <c r="F44" s="21">
        <v>2497164.2099999976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39780683.710000008</v>
      </c>
      <c r="F45" s="21">
        <v>3395919.2499999967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37468363.599999994</v>
      </c>
      <c r="F46" s="21">
        <v>4590425.4600000009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37687156.829999998</v>
      </c>
      <c r="F47" s="21">
        <v>761592.36999999965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44059523.329999998</v>
      </c>
      <c r="F48" s="21">
        <v>5505513.3200000003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32632502.649999999</v>
      </c>
      <c r="F49" s="21">
        <v>2403702.4899999998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31308792.890000004</v>
      </c>
      <c r="F50" s="21">
        <v>2292640.4299999964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40800618.369999997</v>
      </c>
      <c r="F51" s="21">
        <v>574203.24999999674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43466192.020000003</v>
      </c>
      <c r="F52" s="21">
        <v>4494971.7700000005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51375251.710000001</v>
      </c>
      <c r="F53" s="21">
        <v>2426484.9799999977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46252804.690000005</v>
      </c>
      <c r="F54" s="21">
        <v>2048597.9800000014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45076859.040000007</v>
      </c>
      <c r="F55" s="21">
        <v>5550960.450000003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41665420.969999999</v>
      </c>
      <c r="F56" s="21">
        <v>2621902.359999998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40698656.479999997</v>
      </c>
      <c r="F57" s="21">
        <v>3450278.5899999975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39804405.119999997</v>
      </c>
      <c r="F58" s="21">
        <v>4300992.66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35924436.769999996</v>
      </c>
      <c r="F59" s="21">
        <v>2503072.899999998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36913532.360000007</v>
      </c>
      <c r="F60" s="21">
        <v>2818359.6500000036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48214883.800000004</v>
      </c>
      <c r="F61" s="21">
        <v>1374832.4200000046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46661873.82</v>
      </c>
      <c r="F62" s="21">
        <v>3180269.3999999957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48227187.280000001</v>
      </c>
      <c r="F63" s="21">
        <v>3055967.7800000012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49227540.700000003</v>
      </c>
      <c r="F64" s="21">
        <v>3976332.640000002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1576708811.9899998</v>
      </c>
      <c r="F67" s="23">
        <f>SUM(F13:F66)</f>
        <v>119519971.66000001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EAE0-8816-4E4B-A9CD-7755AE57451B}">
  <sheetPr>
    <pageSetUpPr fitToPage="1"/>
  </sheetPr>
  <dimension ref="A1:X209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6093964.3800000008</v>
      </c>
      <c r="F13" s="21">
        <v>254570.62000000046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5085662.1900000004</v>
      </c>
      <c r="F14" s="33">
        <v>418767.57000000007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3906318.6999999997</v>
      </c>
      <c r="F15" s="21">
        <v>500995.80000000016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4530298.6100000003</v>
      </c>
      <c r="F16" s="21">
        <v>324317.73999999987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4546125.1499999994</v>
      </c>
      <c r="F17" s="21">
        <v>414262.77999999991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4066991.0700000003</v>
      </c>
      <c r="F18" s="21">
        <v>398713.90000000014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4060839.96</v>
      </c>
      <c r="F19" s="33">
        <v>-129555.31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4954054.29</v>
      </c>
      <c r="F20" s="21">
        <v>301746.55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4211415.28</v>
      </c>
      <c r="F21" s="21">
        <v>471473.3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4216257.33</v>
      </c>
      <c r="F22" s="21">
        <v>244747.60999999987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4261337.5299999993</v>
      </c>
      <c r="F23" s="21">
        <v>238842.69999999984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3328152.26</v>
      </c>
      <c r="F24" s="21">
        <v>297669.07999999996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3478830.1</v>
      </c>
      <c r="F25" s="21">
        <v>143405.89000000001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3027103.0599999996</v>
      </c>
      <c r="F26" s="21">
        <v>320868.87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3298392.6599999997</v>
      </c>
      <c r="F27" s="21">
        <v>225622.03999999986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2447762.39</v>
      </c>
      <c r="F28" s="21">
        <v>267583.34000000008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3440780.8200000003</v>
      </c>
      <c r="F29" s="21">
        <v>332643.12999999989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3796714.0599999996</v>
      </c>
      <c r="F30" s="21">
        <v>330398.71999999997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3524375.54</v>
      </c>
      <c r="F31" s="21">
        <v>401755.54999999993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3582225.9300000006</v>
      </c>
      <c r="F32" s="21">
        <v>120837.42000000016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3286293.48</v>
      </c>
      <c r="F33" s="33">
        <v>271700.4600000002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3949593.2300000004</v>
      </c>
      <c r="F34" s="21">
        <v>35830.330000000016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5674554.2399999993</v>
      </c>
      <c r="F35" s="21">
        <v>237634.27999999968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5281529.55</v>
      </c>
      <c r="F36" s="21">
        <v>495387.16999999952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5261249.43</v>
      </c>
      <c r="F37" s="21">
        <v>101742.31000000017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6403791.0399999991</v>
      </c>
      <c r="F38" s="21">
        <v>551811.94999999995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6004845.9799999986</v>
      </c>
      <c r="F39" s="21">
        <v>298683.81000000023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6155161.2400000002</v>
      </c>
      <c r="F40" s="21">
        <v>304759.30999999965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5500124.0300000012</v>
      </c>
      <c r="F41" s="21">
        <v>608337.5900000002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6370729.9399999995</v>
      </c>
      <c r="F42" s="21">
        <v>469908.67000000004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6455525.3399999999</v>
      </c>
      <c r="F43" s="33">
        <v>-120948.20999999973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7262117.0199999996</v>
      </c>
      <c r="F44" s="21">
        <v>710792.88999999955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5861354.96</v>
      </c>
      <c r="F45" s="21">
        <v>863409.66999999993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6366806.6800000006</v>
      </c>
      <c r="F46" s="21">
        <v>384832.98999999987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6437550.0099999998</v>
      </c>
      <c r="F47" s="21">
        <v>379213.33999999985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5994221.6199999992</v>
      </c>
      <c r="F48" s="21">
        <v>328908.95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6318014.9800000004</v>
      </c>
      <c r="F49" s="21">
        <v>828852.63000000024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6198087.0500000007</v>
      </c>
      <c r="F50" s="33">
        <v>777169.25999999966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6244151.1199999992</v>
      </c>
      <c r="F51" s="21">
        <v>475330.30000000028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6805054.1399999997</v>
      </c>
      <c r="F52" s="21">
        <v>461975.8600000001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6627546.3100000005</v>
      </c>
      <c r="F53" s="21">
        <v>399077.63999999955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6403591.6200000001</v>
      </c>
      <c r="F54" s="21">
        <v>959769.06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8512195.5799999982</v>
      </c>
      <c r="F55" s="21">
        <v>521965.85999999987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7700207.1799999988</v>
      </c>
      <c r="F56" s="21">
        <v>434716.16999999969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6768250.7599999998</v>
      </c>
      <c r="F57" s="21">
        <v>812018.7300000001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7026298.54</v>
      </c>
      <c r="F58" s="21">
        <v>253508.03999999992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5901715.5899999999</v>
      </c>
      <c r="F59" s="21">
        <v>462535.20999999996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43853139.620000005</v>
      </c>
      <c r="F60" s="33">
        <v>-8024564.7400000039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27383438.699999999</v>
      </c>
      <c r="F61" s="21">
        <v>10145283.550000001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11963872.700000001</v>
      </c>
      <c r="F62" s="21">
        <v>812439.29999999981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13686152.790000001</v>
      </c>
      <c r="F63" s="21">
        <v>1111706.5900000012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18419491.720000003</v>
      </c>
      <c r="F64" s="21">
        <v>1245736.5400000021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361934257.50000006</v>
      </c>
      <c r="F67" s="23">
        <f>SUM(F13:F66)</f>
        <v>23479192.809999999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7" t="s">
        <v>16</v>
      </c>
      <c r="B72" s="37"/>
      <c r="C72" s="37"/>
      <c r="D72" s="37"/>
      <c r="E72" s="37"/>
      <c r="F72" s="37"/>
      <c r="G72" s="37"/>
      <c r="H72" s="37"/>
      <c r="I72" s="37"/>
      <c r="J72" s="37"/>
      <c r="K72"/>
      <c r="L72"/>
      <c r="M72"/>
      <c r="N72"/>
      <c r="O72"/>
      <c r="P72"/>
      <c r="Q72"/>
      <c r="R72"/>
      <c r="S72"/>
    </row>
    <row r="73" spans="1:19" ht="15" customHeight="1" x14ac:dyDescent="0.25">
      <c r="A73" s="34" t="s">
        <v>15</v>
      </c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7">
    <mergeCell ref="A74:J74"/>
    <mergeCell ref="A6:J6"/>
    <mergeCell ref="B8:G8"/>
    <mergeCell ref="A70:J70"/>
    <mergeCell ref="A71:J71"/>
    <mergeCell ref="A73:J73"/>
    <mergeCell ref="A72:J72"/>
  </mergeCells>
  <conditionalFormatting sqref="C13:E13 F13:F16 E14:E16 C14:D27 E17:F27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01D9-CF3A-4923-AD07-D8E48483ECCF}">
  <sheetPr>
    <pageSetUpPr fitToPage="1"/>
  </sheetPr>
  <dimension ref="A1:X207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13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6453997.8899999997</v>
      </c>
      <c r="F13" s="21">
        <v>362590.48000000004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12564239.460000001</v>
      </c>
      <c r="F14" s="33">
        <v>-23149.979999999283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17768556.330000002</v>
      </c>
      <c r="F15" s="21">
        <v>363904.7499999993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10475477.130000001</v>
      </c>
      <c r="F16" s="21">
        <v>858914.81000000029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10378003.130000001</v>
      </c>
      <c r="F17" s="21">
        <v>150478.27000000002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12976974.220000001</v>
      </c>
      <c r="F18" s="21">
        <v>711215.44000000088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8442658.629999999</v>
      </c>
      <c r="F19" s="21">
        <v>858703.87000000011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5991542.1499999994</v>
      </c>
      <c r="F20" s="21">
        <v>756086.79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4122066.44</v>
      </c>
      <c r="F21" s="21">
        <v>488172.36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4263697.68</v>
      </c>
      <c r="F22" s="21">
        <v>126608.53000000014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5134908.45</v>
      </c>
      <c r="F23" s="21">
        <v>234819.56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5740853.2800000003</v>
      </c>
      <c r="F24" s="21">
        <v>773237.84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3415137.06</v>
      </c>
      <c r="F25" s="21">
        <v>414114.70999999996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5213615.3500000006</v>
      </c>
      <c r="F26" s="21">
        <v>382477.49999999971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4105061.3</v>
      </c>
      <c r="F27" s="21">
        <v>624792.52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3793189.6399999997</v>
      </c>
      <c r="F28" s="21">
        <v>235403.25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2282007.83</v>
      </c>
      <c r="F29" s="21">
        <v>305517.04999999987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4120319.2399999998</v>
      </c>
      <c r="F30" s="21">
        <v>455250.01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4100643.3899999992</v>
      </c>
      <c r="F31" s="21">
        <v>766203.04999999981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6154080.8299999991</v>
      </c>
      <c r="F32" s="21">
        <v>551450.10999999987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5655393.0199999996</v>
      </c>
      <c r="F33" s="33">
        <v>-53650.420000000275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4535997.87</v>
      </c>
      <c r="F34" s="21">
        <v>928657.35999999987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7403422.2199999997</v>
      </c>
      <c r="F35" s="21">
        <v>333251.95000000013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4878765.96</v>
      </c>
      <c r="F36" s="21">
        <v>627627.00999999966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5696092.9100000001</v>
      </c>
      <c r="F37" s="21">
        <v>465737.62999999977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5834410.2199999997</v>
      </c>
      <c r="F38" s="21">
        <v>17570.129999999946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7085016.5699999994</v>
      </c>
      <c r="F39" s="21">
        <v>189201.35000000009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9200007.6799999997</v>
      </c>
      <c r="F40" s="21">
        <v>395194.87000000058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7816243.2800000003</v>
      </c>
      <c r="F41" s="21">
        <v>738856.14999999967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9066736.5700000003</v>
      </c>
      <c r="F42" s="21">
        <v>905904.32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8714303.2699999996</v>
      </c>
      <c r="F43" s="21">
        <v>292942.31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9689178.8900000006</v>
      </c>
      <c r="F44" s="21">
        <v>787420.19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8875037.7800000012</v>
      </c>
      <c r="F45" s="21">
        <v>496254.62000000011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9078102.9600000009</v>
      </c>
      <c r="F46" s="21">
        <v>697391.62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11292600.149999999</v>
      </c>
      <c r="F47" s="21">
        <v>256334.0900000009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7840265.4199999999</v>
      </c>
      <c r="F48" s="21">
        <v>323272.9299999997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8649868.129999999</v>
      </c>
      <c r="F49" s="21">
        <v>651134.52999999991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9016654.0700000003</v>
      </c>
      <c r="F50" s="33">
        <v>-242416.93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10431059.790000001</v>
      </c>
      <c r="F51" s="21">
        <v>670395.46000000054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29852301.169999998</v>
      </c>
      <c r="F52" s="21">
        <v>150057.0400000012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7697026.6600000001</v>
      </c>
      <c r="F53" s="21">
        <v>604286.00000000012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16514497.029999999</v>
      </c>
      <c r="F54" s="21">
        <v>452443.03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10363776.76</v>
      </c>
      <c r="F55" s="21">
        <v>917544.27000000037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6889375.8900000006</v>
      </c>
      <c r="F56" s="21">
        <v>227958.68000000005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7357251.5199999996</v>
      </c>
      <c r="F57" s="21">
        <v>979284.37000000011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7951616.0699999994</v>
      </c>
      <c r="F58" s="21">
        <v>246945.08000000019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7264693.2999999998</v>
      </c>
      <c r="F59" s="21">
        <v>98565.250000000233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7313253.9799999995</v>
      </c>
      <c r="F60" s="21">
        <v>574446.93000000005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6774760.7599999988</v>
      </c>
      <c r="F61" s="21">
        <v>405363.28000000026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7136403</v>
      </c>
      <c r="F62" s="21">
        <v>236705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7789908</v>
      </c>
      <c r="F63" s="21">
        <v>467004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5334340.1800000006</v>
      </c>
      <c r="F64" s="21">
        <v>543429.31999999995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416495390.51000005</v>
      </c>
      <c r="F66" s="23">
        <f>SUM(F13:F65)</f>
        <v>23781902.340000011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4" t="s">
        <v>10</v>
      </c>
      <c r="B71" s="34"/>
      <c r="C71" s="34"/>
      <c r="D71" s="34"/>
      <c r="E71" s="34"/>
      <c r="F71" s="34"/>
      <c r="G71" s="34"/>
      <c r="H71" s="34"/>
      <c r="I71" s="34"/>
      <c r="J71" s="34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7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D24" sqref="D24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A4" s="38"/>
      <c r="B4" s="38"/>
      <c r="C4" s="38"/>
      <c r="D4" s="38"/>
      <c r="E4" s="38"/>
      <c r="F4" s="3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8</v>
      </c>
      <c r="B6" s="40"/>
      <c r="C6" s="40"/>
      <c r="D6" s="40"/>
      <c r="E6" s="41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36" t="s">
        <v>7</v>
      </c>
      <c r="B8" s="36"/>
      <c r="C8" s="36"/>
      <c r="D8" s="36"/>
      <c r="E8" s="36"/>
      <c r="F8" s="36"/>
    </row>
    <row r="9" spans="1:24" s="13" customFormat="1" ht="14.25" customHeight="1" x14ac:dyDescent="0.2">
      <c r="A9" s="31"/>
      <c r="B9" s="31"/>
      <c r="C9" s="31"/>
      <c r="D9" s="31"/>
      <c r="E9" s="31"/>
      <c r="F9" s="31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B16" s="21">
        <v>29465195.41</v>
      </c>
      <c r="D16" s="21">
        <v>2336812.810000001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12227943.85</v>
      </c>
      <c r="D17" s="21">
        <v>186059.27000000025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12123822.880000003</v>
      </c>
      <c r="D18" s="21">
        <v>880727.3200000003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13819779.810000001</v>
      </c>
      <c r="D19" s="21">
        <v>1577152.5200000014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14359672.779999999</v>
      </c>
      <c r="D20" s="21">
        <v>691921.37999999989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6306735.9200000009</v>
      </c>
      <c r="D21" s="21">
        <v>717963.38000000012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8555895.8399999999</v>
      </c>
      <c r="D22" s="21">
        <v>409198.48999999964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23970603.960000005</v>
      </c>
      <c r="D23" s="21">
        <v>1100429.6700000002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7297398.1100000003</v>
      </c>
      <c r="D24" s="21">
        <v>460360.44999999995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3">
        <f>SUM(B13:B24)</f>
        <v>128127048.56000002</v>
      </c>
      <c r="D25" s="23">
        <f>SUM(D13:D24)</f>
        <v>8360625.2900000019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2" t="s">
        <v>9</v>
      </c>
      <c r="B28" s="42"/>
      <c r="C28" s="42"/>
      <c r="D28" s="42"/>
      <c r="E28" s="42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2" t="s">
        <v>11</v>
      </c>
      <c r="B29" s="42"/>
      <c r="C29" s="42"/>
      <c r="D29" s="42"/>
      <c r="E29" s="42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17.25" customHeight="1" x14ac:dyDescent="0.25">
      <c r="A30" s="44" t="s">
        <v>12</v>
      </c>
      <c r="B30" s="44"/>
      <c r="C30" s="44"/>
      <c r="D30" s="44"/>
      <c r="E30" s="44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30" customHeight="1" x14ac:dyDescent="0.25">
      <c r="A31" s="43" t="s">
        <v>10</v>
      </c>
      <c r="B31" s="43"/>
      <c r="C31" s="43"/>
      <c r="D31" s="43"/>
      <c r="E31" s="43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 s="24"/>
      <c r="H61" s="22"/>
      <c r="L61"/>
      <c r="M61"/>
      <c r="N61"/>
      <c r="O61"/>
      <c r="P61"/>
      <c r="Q61"/>
      <c r="R61"/>
      <c r="S61"/>
    </row>
    <row r="62" spans="1:19" x14ac:dyDescent="0.25">
      <c r="G62" s="24"/>
      <c r="H62" s="22"/>
      <c r="L62"/>
      <c r="M62"/>
      <c r="N62"/>
      <c r="O62"/>
      <c r="P62"/>
      <c r="Q62"/>
      <c r="R62"/>
      <c r="S62"/>
    </row>
    <row r="63" spans="1:19" s="24" customFormat="1" x14ac:dyDescent="0.25">
      <c r="A63" s="6"/>
      <c r="B63" s="21"/>
      <c r="C63" s="21"/>
      <c r="D63" s="21"/>
      <c r="E63" s="21"/>
      <c r="F63" s="21"/>
      <c r="G63" s="21"/>
      <c r="H63" s="21"/>
      <c r="I63" s="22"/>
      <c r="J63" s="21"/>
      <c r="K63" s="21"/>
      <c r="M63" s="22"/>
      <c r="N63" s="21"/>
      <c r="O63" s="21"/>
      <c r="P63" s="21"/>
      <c r="Q63" s="21"/>
      <c r="R63" s="21"/>
      <c r="S63" s="21"/>
    </row>
    <row r="64" spans="1:19" s="24" customFormat="1" x14ac:dyDescent="0.25">
      <c r="A64" s="6"/>
      <c r="B64" s="21"/>
      <c r="C64" s="21"/>
      <c r="D64" s="21"/>
      <c r="E64" s="21"/>
      <c r="F64" s="21"/>
      <c r="G64" s="26"/>
      <c r="H64" s="26"/>
      <c r="I64" s="27"/>
      <c r="J64" s="26"/>
      <c r="K64" s="26"/>
      <c r="M64" s="22"/>
      <c r="N64" s="21"/>
      <c r="O64" s="21"/>
      <c r="P64" s="21"/>
      <c r="Q64" s="21"/>
      <c r="R64" s="21"/>
      <c r="S64" s="21"/>
    </row>
    <row r="65" spans="1:24" x14ac:dyDescent="0.25">
      <c r="H65" s="22"/>
      <c r="L65" s="21"/>
      <c r="M65" s="21"/>
      <c r="T65" s="21"/>
      <c r="U65" s="21"/>
    </row>
    <row r="66" spans="1:24" x14ac:dyDescent="0.25">
      <c r="H66" s="22"/>
      <c r="L66" s="26"/>
      <c r="M66" s="26"/>
      <c r="N66" s="26"/>
      <c r="O66" s="26"/>
      <c r="P66" s="26"/>
      <c r="Q66" s="26"/>
      <c r="R66" s="26"/>
      <c r="T66" s="21"/>
      <c r="U66" s="21"/>
    </row>
    <row r="67" spans="1:24" x14ac:dyDescent="0.25">
      <c r="H67" s="22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s="21" customFormat="1" x14ac:dyDescent="0.25">
      <c r="A77" s="6"/>
      <c r="H77" s="22"/>
      <c r="L77" s="22"/>
      <c r="M77" s="22"/>
      <c r="T77"/>
      <c r="U77"/>
      <c r="V77"/>
      <c r="W77"/>
      <c r="X77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L167" s="22"/>
      <c r="M167" s="22"/>
      <c r="T167"/>
      <c r="U167"/>
      <c r="V167"/>
      <c r="W167"/>
      <c r="X167"/>
    </row>
  </sheetData>
  <mergeCells count="7">
    <mergeCell ref="A4:F4"/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Becker, Tammy (GAMING)</cp:lastModifiedBy>
  <cp:lastPrinted>2026-07-01T17:03:27Z</cp:lastPrinted>
  <dcterms:created xsi:type="dcterms:W3CDTF">2022-01-10T16:49:23Z</dcterms:created>
  <dcterms:modified xsi:type="dcterms:W3CDTF">2026-08-26T20:00:29Z</dcterms:modified>
</cp:coreProperties>
</file>