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09A7732C-F8E2-46AA-8A2F-56526A8FB8C3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22-23'!$A$1:$K$72</definedName>
    <definedName name="_xlnm.Print_Area" localSheetId="3">'FY 23-24'!$A$1:$K$73</definedName>
    <definedName name="_xlnm.Print_Area" localSheetId="2">'FY 24-25'!$A$1:$K$73</definedName>
    <definedName name="_xlnm.Print_Area" localSheetId="1">'FY 25-26'!$A$1:$K$73</definedName>
    <definedName name="_xlnm.Print_Area" localSheetId="0">'FY 26-27'!$A$1:$K$73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 l="1"/>
  <c r="D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<sst xmlns="http://schemas.openxmlformats.org/spreadsheetml/2006/main" count="85" uniqueCount="18">
  <si>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</si>
  <si>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</si>
  <si>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</si>
  <si>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</si>
  <si>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</si>
  <si>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</si>
  <si>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</si>
  <si>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</si>
  <si>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</si>
  <si>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</si>
  <si>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 xml:space="preserve">2) Mobile Sports Wagering Gross Gaming Revenue (GGR) is taxed at 51%. </t>
  </si>
  <si>
    <t>3) DraftKings Sportsbook began operating in NY on 1/8/22.</t>
  </si>
  <si>
    <t>Report compiled by the New York State Gaming Commission based on data provided by DraftKings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</si>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</sst>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6" fontId="3" fillId="0" borderId="0" xfId="1" applyNumberFormat="1" applyAlignment="1" applyProtection="1"/>
    <xf numFmtId="6" fontId="1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/>
    </xf>
    <xf numFmtId="5" fontId="0" fillId="0" borderId="0" xfId="0" applyNumberFormat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vertical="top" wrapText="1"/>
    </xf>
    <xf numFmtId="164" fontId="6" fillId="2" borderId="3" xfId="0" applyNumberFormat="1" applyFont="1" applyFill="1" applyBorder="1" applyAlignment="1">
      <alignment horizontal="center"/>
    </xf>
    <xf numFmtId="164" fontId="6" fillId="2" borderId="4" xfId="0" applyNumberFormat="1" applyFont="1" applyFill="1" applyBorder="1" applyAlignment="1">
      <alignment horizontal="center"/>
    </xf>
    <xf numFmtId="164" fontId="6" fillId="2" borderId="5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318130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8F4430-CD10-4252-AC61-2EBCA3A65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13560" cy="495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318130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29EF17-C4F0-4677-9D98-BAC67D151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13560" cy="495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318130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4F68CD-805C-42CA-8879-1AD366401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09750" cy="495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314320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1FB6BD-4D00-4B45-B0A5-B6BA393FD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09750" cy="4953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314320</xdr:colOff>
      <xdr:row>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C533E3-9AEA-49CC-B10C-77B491CB1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09750" cy="4953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95251</xdr:rowOff>
    </xdr:from>
    <xdr:to>
      <xdr:col>2</xdr:col>
      <xdr:colOff>38100</xdr:colOff>
      <xdr:row>3</xdr:row>
      <xdr:rowOff>209551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D1ADD1-16D3-4800-A636-0F2FCDC93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295276"/>
          <a:ext cx="180975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CA91-8CD8-4206-ACB0-D4E2549C56AE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G29" sqref="G29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17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157270301.22</v>
      </c>
      <c r="F13" s="33">
        <v>14983676.999999989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174358281.92000002</v>
      </c>
      <c r="F14" s="33">
        <v>19094033.500000007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168329345.93000001</v>
      </c>
      <c r="F15" s="33">
        <v>16797597.599999994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166699670.18000001</v>
      </c>
      <c r="F16" s="33">
        <v>17522883.170000009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175398862.28</v>
      </c>
      <c r="F17" s="33">
        <v>20911447.289999999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166657914.09</v>
      </c>
      <c r="F18" s="33">
        <v>14003269.719999997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175326558.13</v>
      </c>
      <c r="F19" s="33">
        <v>26097532.040000007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139239241.99000001</v>
      </c>
      <c r="F20" s="33">
        <v>16119441.869999986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156831589.41999999</v>
      </c>
      <c r="F21" s="33">
        <v>14439615.649999997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158247051.71000001</v>
      </c>
      <c r="F22" s="33">
        <v>8852004.0300000049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152258053.63000003</v>
      </c>
      <c r="F23" s="33">
        <v>9252699.1900000088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195613213.95000002</v>
      </c>
      <c r="F24" s="33">
        <v>-14033670.478700016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196191526.97999999</v>
      </c>
      <c r="F25" s="33">
        <v>15707055.972899992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187265339.63999999</v>
      </c>
      <c r="F26" s="33">
        <v>20773684.884400003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198331851.16000003</v>
      </c>
      <c r="F27" s="33">
        <v>13762041.869999994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165737601.04000002</v>
      </c>
      <c r="F28" s="33">
        <v>23467231.063799992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139807491.63</v>
      </c>
      <c r="F29" s="33">
        <v>23125849.47000001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121558881.38</v>
      </c>
      <c r="F30" s="33">
        <v>8980473.9399999939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130246036.2</v>
      </c>
      <c r="F31" s="33">
        <v>16204919.896200005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125731437.53999999</v>
      </c>
      <c r="F32" s="33">
        <v>11195806.959999999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F33" s="3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F34" s="33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F35" s="33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F36" s="33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F37" s="33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F38" s="33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33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33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33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3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3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3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3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3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3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3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3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3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3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3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3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3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3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3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3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3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3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3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3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3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3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3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3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3251100250.02</v>
      </c>
      <c r="F67" s="23">
        <f>SUM(F13:F66)</f>
        <v>297257594.63859993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2" customFormat="1" ht="25.5" customHeight="1" x14ac:dyDescent="0.25">
      <c r="A70" s="36" t="s">
        <v>9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</row>
    <row r="72" spans="1:19" s="32" customFormat="1" ht="15" customHeight="1" x14ac:dyDescent="0.25">
      <c r="A72" s="37" t="s">
        <v>12</v>
      </c>
      <c r="B72" s="37"/>
      <c r="C72" s="37"/>
      <c r="D72" s="37"/>
      <c r="E72" s="37"/>
      <c r="F72" s="37"/>
      <c r="G72" s="37"/>
      <c r="H72" s="37"/>
      <c r="I72" s="37"/>
      <c r="J72" s="37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51E3F-1DF3-432B-959D-2C8624018036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J61" sqref="J6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16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177814590.40000001</v>
      </c>
      <c r="F13" s="21">
        <v>1183700.8400020041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189008182.21999997</v>
      </c>
      <c r="F14" s="21">
        <v>16535700.970003005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163514962.15000001</v>
      </c>
      <c r="F15" s="21">
        <v>15025126.95989299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150472293.15000001</v>
      </c>
      <c r="F16" s="21">
        <v>10555443.520026002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181268409.34999999</v>
      </c>
      <c r="F17" s="21">
        <v>20517123.640008006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163907213.20999998</v>
      </c>
      <c r="F18" s="21">
        <v>15335369.51000501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172955864.88999999</v>
      </c>
      <c r="F19" s="21">
        <v>16187739.260003997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176164717.42999998</v>
      </c>
      <c r="F20" s="21">
        <v>16100825.379997995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179179439.64999998</v>
      </c>
      <c r="F21" s="21">
        <v>21469702.929986008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187561645</v>
      </c>
      <c r="F22" s="21">
        <v>23796143.079996005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146286815.37</v>
      </c>
      <c r="F23" s="21">
        <v>18977139.340000004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142598473.59999999</v>
      </c>
      <c r="F24" s="21">
        <v>19737863.220010996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145538448.72</v>
      </c>
      <c r="F25" s="21">
        <v>15542157.409998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129157984.65000001</v>
      </c>
      <c r="F26" s="21">
        <v>10378327.400001992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133733445.71000001</v>
      </c>
      <c r="F27" s="21">
        <v>13543925.440001003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122657720.96000001</v>
      </c>
      <c r="F28" s="21">
        <v>12577332.039999997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100489018.08000001</v>
      </c>
      <c r="F29" s="21">
        <v>8622704.460002007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114221926.89</v>
      </c>
      <c r="F30" s="21">
        <v>12404711.449988991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110289409.14</v>
      </c>
      <c r="F31" s="21">
        <v>14358078.730005996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105277538.56</v>
      </c>
      <c r="F32" s="21">
        <v>11386414.330004003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122438986.39999999</v>
      </c>
      <c r="F33" s="21">
        <v>10851246.57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132593559.10000001</v>
      </c>
      <c r="F34" s="21">
        <v>15495577.790000007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166340670.63</v>
      </c>
      <c r="F35" s="21">
        <v>19963957.870000001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205254442.90999997</v>
      </c>
      <c r="F36" s="21">
        <v>4469721.9499999974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202367321.11000001</v>
      </c>
      <c r="F37" s="21">
        <v>20142993.969999991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219813405.71999997</v>
      </c>
      <c r="F38" s="21">
        <v>22443025.599999987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200288091.82000002</v>
      </c>
      <c r="F39" s="21">
        <v>23200970.969999991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212047993.73000002</v>
      </c>
      <c r="F40" s="21">
        <v>7570345.9799999781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195657939</v>
      </c>
      <c r="F41" s="21">
        <v>23575258.450000003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198376723.32999998</v>
      </c>
      <c r="F42" s="21">
        <v>11659023.439999992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237801401.52000001</v>
      </c>
      <c r="F43" s="21">
        <v>15427439.72000001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236358439.53999999</v>
      </c>
      <c r="F44" s="21">
        <v>25808913.329999998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218087907.63</v>
      </c>
      <c r="F45" s="21">
        <v>18767263.709999993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200490678.24000001</v>
      </c>
      <c r="F46" s="21">
        <v>20072757.750000011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180936693.55999997</v>
      </c>
      <c r="F47" s="21">
        <v>18242416.089999989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217365859.86999997</v>
      </c>
      <c r="F48" s="21">
        <v>27343229.279999986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185761806.56999999</v>
      </c>
      <c r="F49" s="21">
        <v>24222651.509999987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163675222.74000001</v>
      </c>
      <c r="F50" s="21">
        <v>16967711.300000004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201194928.56000003</v>
      </c>
      <c r="F51" s="21">
        <v>14005183.950000007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179340363.38999999</v>
      </c>
      <c r="F52" s="21">
        <v>19706426.739999998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203663207.37</v>
      </c>
      <c r="F53" s="21">
        <v>22828020.210000001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181392864.35999998</v>
      </c>
      <c r="F54" s="21">
        <v>9014903.7299999986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182727761.54000002</v>
      </c>
      <c r="F55" s="21">
        <v>32339153.150000002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184151554.98000002</v>
      </c>
      <c r="F56" s="21">
        <v>8276216.0100000016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166998495.72</v>
      </c>
      <c r="F57" s="21">
        <v>17150080.549999997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191731070.5</v>
      </c>
      <c r="F58" s="21">
        <v>17566779.999999996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153949705.38</v>
      </c>
      <c r="F59" s="21">
        <v>13140787.919999992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164641995.75000003</v>
      </c>
      <c r="F60" s="21">
        <v>15211310.319999998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165962728.74999997</v>
      </c>
      <c r="F61" s="21">
        <v>14584000.909999995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171265391.70000002</v>
      </c>
      <c r="F62" s="21">
        <v>18276652.490000002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180948074.61000001</v>
      </c>
      <c r="F63" s="21">
        <v>19072675.090000011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177913901.68000001</v>
      </c>
      <c r="F64" s="21">
        <v>18725188.799999997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8993637286.8400021</v>
      </c>
      <c r="F67" s="23">
        <f>SUM(F13:F66)</f>
        <v>860357415.05993366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2" customFormat="1" ht="25.5" customHeight="1" x14ac:dyDescent="0.25">
      <c r="A70" s="36" t="s">
        <v>9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</row>
    <row r="72" spans="1:19" s="32" customFormat="1" ht="15" customHeight="1" x14ac:dyDescent="0.25">
      <c r="A72" s="37" t="s">
        <v>12</v>
      </c>
      <c r="B72" s="37"/>
      <c r="C72" s="37"/>
      <c r="D72" s="37"/>
      <c r="E72" s="37"/>
      <c r="F72" s="37"/>
      <c r="G72" s="37"/>
      <c r="H72" s="37"/>
      <c r="I72" s="37"/>
      <c r="J72" s="37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3CD61-BE01-4655-B34E-C506A6566A3A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15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153852827.31</v>
      </c>
      <c r="F13" s="21">
        <v>12744433.969992002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163456468.00999999</v>
      </c>
      <c r="F14" s="21">
        <v>13068666.289999999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193232471.39000002</v>
      </c>
      <c r="F15" s="21">
        <v>7149621.7981209848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187129088.44</v>
      </c>
      <c r="F16" s="21">
        <v>27314473.030000005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152809080.95999998</v>
      </c>
      <c r="F17" s="21">
        <v>10669036.970006999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217230355.57000002</v>
      </c>
      <c r="F18" s="21">
        <v>7037661.7700030115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231480985.05000001</v>
      </c>
      <c r="F19" s="21">
        <v>36518816.529994011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167614361.06</v>
      </c>
      <c r="F20" s="21">
        <v>15002260.619994013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155730752.13</v>
      </c>
      <c r="F21" s="21">
        <v>20455440.380006008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121291969.53999999</v>
      </c>
      <c r="F22" s="21">
        <v>8151783.9199999962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123736468.80999999</v>
      </c>
      <c r="F23" s="21">
        <v>11344231.449996997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125653266.73</v>
      </c>
      <c r="F24" s="21">
        <v>11003640.99000001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118021953.66000001</v>
      </c>
      <c r="F25" s="21">
        <v>10921212.640015004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113507624.66</v>
      </c>
      <c r="F26" s="21">
        <v>9652793.6299900021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118012753.92</v>
      </c>
      <c r="F27" s="21">
        <v>14310858.660003999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110224048.92</v>
      </c>
      <c r="F28" s="21">
        <v>11625664.560013006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81544840.789999992</v>
      </c>
      <c r="F29" s="21">
        <v>7742591.2899999972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97010134.269999996</v>
      </c>
      <c r="F30" s="21">
        <v>11367883.669995006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125768345.73000002</v>
      </c>
      <c r="F31" s="21">
        <v>7800861.3999820128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116388685.32000001</v>
      </c>
      <c r="F32" s="21">
        <v>7924892.9499979988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103743269.3</v>
      </c>
      <c r="F33" s="21">
        <v>12763020.100000001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105138977.28</v>
      </c>
      <c r="F34" s="21">
        <v>9404732.3399979975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150365004.44</v>
      </c>
      <c r="F35" s="21">
        <v>9359359.580009006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181128402.37</v>
      </c>
      <c r="F36" s="21">
        <v>9975460.1199290138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184345077.40000001</v>
      </c>
      <c r="F37" s="21">
        <v>23608756.980016988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181648143.13999999</v>
      </c>
      <c r="F38" s="21">
        <v>17402768.939852007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196317296.61000001</v>
      </c>
      <c r="F39" s="21">
        <v>17439470.280009981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182353274.73000002</v>
      </c>
      <c r="F40" s="21">
        <v>21269989.419989016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173029230.61000001</v>
      </c>
      <c r="F41" s="21">
        <v>5333562.929995006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198276055.32999998</v>
      </c>
      <c r="F42" s="21">
        <v>1479466.3399920128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192548070.65000001</v>
      </c>
      <c r="F43" s="21">
        <v>19671426.619991999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183287462.47999999</v>
      </c>
      <c r="F44" s="21">
        <v>16915929.187695011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167072709.18000001</v>
      </c>
      <c r="F45" s="21">
        <v>15376627.95000601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162720896.50999999</v>
      </c>
      <c r="F46" s="21">
        <v>16517618.939989014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160982105.31</v>
      </c>
      <c r="F47" s="21">
        <v>19067532.809994996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202719780.06</v>
      </c>
      <c r="F48" s="21">
        <v>16149183.380007006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165031774.09000003</v>
      </c>
      <c r="F49" s="21">
        <v>12757163.239994999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141956784.34999999</v>
      </c>
      <c r="F50" s="21">
        <v>10074796.000003995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167492494.79999998</v>
      </c>
      <c r="F51" s="21">
        <v>10271229.170013998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165624044.08000001</v>
      </c>
      <c r="F52" s="21">
        <v>18119541.960003991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191987866.34000003</v>
      </c>
      <c r="F53" s="21">
        <v>12725322.649266999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191286479.10000002</v>
      </c>
      <c r="F54" s="21">
        <v>20359123.209048003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193606618.73999995</v>
      </c>
      <c r="F55" s="21">
        <v>21855073.010010973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189915838.54999998</v>
      </c>
      <c r="F56" s="21">
        <v>14488499.490004003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177513736.67999998</v>
      </c>
      <c r="F57" s="21">
        <v>18523261.130004998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193961420.12</v>
      </c>
      <c r="F58" s="21">
        <v>17248053.349991016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160770354.05000001</v>
      </c>
      <c r="F59" s="21">
        <v>6835752.8100000042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144321871.97999999</v>
      </c>
      <c r="F60" s="21">
        <v>17793188.740001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229462333.00999999</v>
      </c>
      <c r="F61" s="21">
        <v>2690202.4699930176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239424195.61999997</v>
      </c>
      <c r="F62" s="21">
        <v>16179028.560009003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211927367.75</v>
      </c>
      <c r="F63" s="21">
        <v>24547160.360004984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189046954.17999998</v>
      </c>
      <c r="F64" s="21">
        <v>17729648.359992996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8552702371.1100025</v>
      </c>
      <c r="F67" s="23">
        <f>SUM(F13:F66)</f>
        <v>735738776.94393003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2" customFormat="1" ht="25.5" customHeight="1" x14ac:dyDescent="0.25">
      <c r="A70" s="36" t="s">
        <v>9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</row>
    <row r="72" spans="1:19" s="32" customFormat="1" ht="15" customHeight="1" x14ac:dyDescent="0.25">
      <c r="A72" s="37" t="s">
        <v>12</v>
      </c>
      <c r="B72" s="37"/>
      <c r="C72" s="37"/>
      <c r="D72" s="37"/>
      <c r="E72" s="37"/>
      <c r="F72" s="37"/>
      <c r="G72" s="37"/>
      <c r="H72" s="37"/>
      <c r="I72" s="37"/>
      <c r="J72" s="37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10182-49DE-4981-9631-ABFD85926D75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14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105947507.98</v>
      </c>
      <c r="F13" s="21">
        <v>9339014.0700029992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106382424.38000001</v>
      </c>
      <c r="F14" s="21">
        <v>2910417.9200089946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101986660.86</v>
      </c>
      <c r="F15" s="21">
        <v>14234079.280011997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129272340.19</v>
      </c>
      <c r="F16" s="21">
        <v>15871384.059999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137194301.09999999</v>
      </c>
      <c r="F17" s="21">
        <v>12198885.990000002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122462276.53999999</v>
      </c>
      <c r="F18" s="21">
        <v>16529177.640000006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116457141.84999999</v>
      </c>
      <c r="F19" s="21">
        <v>10104052.239990996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108288540.73</v>
      </c>
      <c r="F20" s="21">
        <v>7072715.4900090061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83825919.019999996</v>
      </c>
      <c r="F21" s="21">
        <v>8978880.6199869961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105035625.98999999</v>
      </c>
      <c r="F22" s="21">
        <v>8342360.4400110021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131126204.86</v>
      </c>
      <c r="F23" s="21">
        <v>9140410.8699910063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117335508.75000001</v>
      </c>
      <c r="F24" s="21">
        <v>12350824.420015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124483515.06</v>
      </c>
      <c r="F25" s="21">
        <v>4114990.7599999942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73832881.780000001</v>
      </c>
      <c r="F26" s="21">
        <v>8482581.6999999974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81832097.739999995</v>
      </c>
      <c r="F27" s="21">
        <v>7822683.420010997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56988162.350000001</v>
      </c>
      <c r="F28" s="21">
        <v>5785426.990011001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71877705.99000001</v>
      </c>
      <c r="F29" s="21">
        <v>7413455.2399999993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94513120.25</v>
      </c>
      <c r="F30" s="21">
        <v>13386355.639974993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161404050.94</v>
      </c>
      <c r="F31" s="21">
        <v>25241171.159994993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75899226.63000001</v>
      </c>
      <c r="F32" s="21">
        <v>6842240.7199999969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89309325.510000005</v>
      </c>
      <c r="F33" s="21">
        <v>7284082.7999769989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75101837.980000004</v>
      </c>
      <c r="F34" s="21">
        <v>7437828.7100100005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116356211.24999999</v>
      </c>
      <c r="F35" s="33">
        <v>-3424943.5199930072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138850833.94999999</v>
      </c>
      <c r="F36" s="21">
        <v>16446089.530006003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179671331.41</v>
      </c>
      <c r="F37" s="21">
        <v>12907889.629999001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176013274.86999997</v>
      </c>
      <c r="F38" s="21">
        <v>13926794.480005005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196107171.12999997</v>
      </c>
      <c r="F39" s="21">
        <v>10357549.160041001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140058063.05000001</v>
      </c>
      <c r="F40" s="21">
        <v>12639646.449952997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145949308.20000002</v>
      </c>
      <c r="F41" s="21">
        <v>23033979.479922011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146098018.43000001</v>
      </c>
      <c r="F42" s="21">
        <v>15176014.089917013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147601738.04000002</v>
      </c>
      <c r="F43" s="21">
        <v>8944622.9800159987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159474875.78999999</v>
      </c>
      <c r="F44" s="21">
        <v>10738373.70003001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163762377.22000003</v>
      </c>
      <c r="F45" s="21">
        <v>15286252.110028002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154116260.5</v>
      </c>
      <c r="F46" s="21">
        <v>14213878.060023999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186940463.35999998</v>
      </c>
      <c r="F47" s="21">
        <v>7947564.8601190075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193588844.05999997</v>
      </c>
      <c r="F48" s="21">
        <v>13492835.359998997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145764061.54000002</v>
      </c>
      <c r="F49" s="21">
        <v>20157852.991197996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218089246.94</v>
      </c>
      <c r="F50" s="21">
        <v>18122787.009990014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149033319.91999999</v>
      </c>
      <c r="F51" s="21">
        <v>11559701.549999993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167984156.82999998</v>
      </c>
      <c r="F52" s="21">
        <v>13713750.910027992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155519440.69999999</v>
      </c>
      <c r="F53" s="21">
        <v>9479616.7599820048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150758871.87</v>
      </c>
      <c r="F54" s="21">
        <v>23174791.444986999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166956108.71999997</v>
      </c>
      <c r="F55" s="21">
        <v>15882885.169786997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143997840.22000003</v>
      </c>
      <c r="F56" s="21">
        <v>14959313.919986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126201055.84</v>
      </c>
      <c r="F57" s="21">
        <v>14763991.389981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167309534.81</v>
      </c>
      <c r="F58" s="21">
        <v>7122688.7499910071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155691619.11000001</v>
      </c>
      <c r="F59" s="21">
        <v>17640045.20398099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130039009.76000001</v>
      </c>
      <c r="F60" s="21">
        <v>15246623.479996001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155205021.46000001</v>
      </c>
      <c r="F61" s="21">
        <v>10543836.189999999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146538194.18000001</v>
      </c>
      <c r="F62" s="21">
        <v>13050789.950002003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147970777.86000001</v>
      </c>
      <c r="F63" s="21">
        <v>11291572.069995992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174377326.66999996</v>
      </c>
      <c r="F64" s="21">
        <v>10329996.729905009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7016580734.1700001</v>
      </c>
      <c r="F67" s="23">
        <f>SUM(F13:F66)</f>
        <v>619609810.06988204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2" customFormat="1" ht="25.5" customHeight="1" x14ac:dyDescent="0.25">
      <c r="A70" s="36" t="s">
        <v>9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</row>
    <row r="72" spans="1:19" s="32" customFormat="1" ht="15" customHeight="1" x14ac:dyDescent="0.25">
      <c r="A72" s="37" t="s">
        <v>12</v>
      </c>
      <c r="B72" s="37"/>
      <c r="C72" s="37"/>
      <c r="D72" s="37"/>
      <c r="E72" s="37"/>
      <c r="F72" s="37"/>
      <c r="G72" s="37"/>
      <c r="H72" s="37"/>
      <c r="I72" s="37"/>
      <c r="J72" s="37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E13 F13:F16 E14:E16 C14:D25 E17:F25">
    <cfRule type="cellIs" dxfId="2" priority="5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6B860-CF95-4DCD-BC51-1A0E030F5640}">
  <sheetPr>
    <pageSetUpPr fitToPage="1"/>
  </sheetPr>
  <dimension ref="A1:X207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13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72955408.219999999</v>
      </c>
      <c r="F13" s="21">
        <v>5379577.9900000002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83517552.439999998</v>
      </c>
      <c r="F14" s="21">
        <v>2444566.6124460045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72108527.549999997</v>
      </c>
      <c r="F15" s="21">
        <v>5785437.9899999965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78153044.180000007</v>
      </c>
      <c r="F16" s="21">
        <v>7165122.4000029964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64602518.570000008</v>
      </c>
      <c r="F17" s="21">
        <v>1422782.1700000055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78871062.210000008</v>
      </c>
      <c r="F18" s="21">
        <v>8743086.0999990031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71657120.340000004</v>
      </c>
      <c r="F19" s="21">
        <v>6303400.9200009992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64150552.109999992</v>
      </c>
      <c r="F20" s="21">
        <v>3696933.9199999971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71069185.689999998</v>
      </c>
      <c r="F21" s="21">
        <v>1851455.58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74132661.329999998</v>
      </c>
      <c r="F22" s="21">
        <v>2724351.8099990012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65549965.110000007</v>
      </c>
      <c r="F23" s="21">
        <v>6136252.9799970016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65637854.889999993</v>
      </c>
      <c r="F24" s="21">
        <v>1081359.3000010019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52886518.829999998</v>
      </c>
      <c r="F25" s="21">
        <v>3671514.6099970043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55941060.339999996</v>
      </c>
      <c r="F26" s="21">
        <v>4413864.5099970018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52140153.389999993</v>
      </c>
      <c r="F27" s="21">
        <v>6109324.7400000002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52136237.990000002</v>
      </c>
      <c r="F28" s="21">
        <v>1230602.9399999995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38178600.720000006</v>
      </c>
      <c r="F29" s="21">
        <v>3595500.0800029999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44240502.569999993</v>
      </c>
      <c r="F30" s="21">
        <v>4884212.4199890029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54770124.339999996</v>
      </c>
      <c r="F31" s="21">
        <v>5385181.6800000006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57188045.569999993</v>
      </c>
      <c r="F32" s="21">
        <v>4940632.729998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55271472.100000001</v>
      </c>
      <c r="F33" s="21">
        <v>6582689.0699999984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53776211.149999999</v>
      </c>
      <c r="F34" s="21">
        <v>4500970.3199849995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70506262.780000001</v>
      </c>
      <c r="F35" s="21">
        <v>8305277.1799949957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116992927.65000001</v>
      </c>
      <c r="F36" s="21">
        <v>8088272.0798139991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104990543.38</v>
      </c>
      <c r="F37" s="21">
        <v>13383944.879994005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97694658.469999999</v>
      </c>
      <c r="F38" s="21">
        <v>10040540.320000008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111447099.02</v>
      </c>
      <c r="F39" s="21">
        <v>4423551.0899999971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110889390.92</v>
      </c>
      <c r="F40" s="21">
        <v>14012921.649910003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114322412.38</v>
      </c>
      <c r="F41" s="21">
        <v>10172498.729990005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126849569.48999999</v>
      </c>
      <c r="F42" s="21">
        <v>10841852.040153004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113578924</v>
      </c>
      <c r="F43" s="21">
        <v>8766468.880082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118052648.05000001</v>
      </c>
      <c r="F44" s="21">
        <v>11425595.339934999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111109051.33000001</v>
      </c>
      <c r="F45" s="21">
        <v>7944656.8300790004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108536966.46000001</v>
      </c>
      <c r="F46" s="21">
        <v>11870971.719985003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135120849.22</v>
      </c>
      <c r="F47" s="21">
        <v>11228829.529913001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124808357.25999999</v>
      </c>
      <c r="F48" s="21">
        <v>8417204.5799980108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110262991.78</v>
      </c>
      <c r="F49" s="21">
        <v>13289753.349966994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120798094.39</v>
      </c>
      <c r="F50" s="21">
        <v>2955042.7699879999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106618740.15000001</v>
      </c>
      <c r="F51" s="21">
        <v>10950053.889991999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126510190.91000003</v>
      </c>
      <c r="F52" s="21">
        <v>7093231.7101010047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142489697.62</v>
      </c>
      <c r="F53" s="21">
        <v>10322868.824546006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139933843.91000003</v>
      </c>
      <c r="F54" s="21">
        <v>3862914.1955219936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152365141.76000002</v>
      </c>
      <c r="F55" s="21">
        <v>20241156.509990014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108680269.17</v>
      </c>
      <c r="F56" s="21">
        <v>6682020.7501360038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108654046.95</v>
      </c>
      <c r="F57" s="21">
        <v>11906126.200000001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150393366.12999997</v>
      </c>
      <c r="F58" s="21">
        <v>2907775.7999999989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110789177.30000001</v>
      </c>
      <c r="F59" s="21">
        <v>7408351.6799800061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115036867.89000002</v>
      </c>
      <c r="F60" s="21">
        <v>9820645.3300109953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137411093.14000002</v>
      </c>
      <c r="F61" s="21">
        <v>10362130.150003998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147797074</v>
      </c>
      <c r="F62" s="21">
        <v>11707425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154079898</v>
      </c>
      <c r="F63" s="21">
        <v>12522085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116267096.77</v>
      </c>
      <c r="F64" s="21">
        <v>12199920.559888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4991921629.9200001</v>
      </c>
      <c r="F66" s="23">
        <f>SUM(F13:F65)</f>
        <v>391202907.44238806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s="32" customFormat="1" ht="25.5" customHeight="1" x14ac:dyDescent="0.25">
      <c r="A69" s="36" t="s">
        <v>9</v>
      </c>
      <c r="B69" s="36"/>
      <c r="C69" s="36"/>
      <c r="D69" s="36"/>
      <c r="E69" s="36"/>
      <c r="F69" s="36"/>
      <c r="G69" s="36"/>
      <c r="H69" s="36"/>
      <c r="I69" s="36"/>
      <c r="J69" s="36"/>
    </row>
    <row r="70" spans="1:19" s="32" customFormat="1" ht="15" customHeight="1" x14ac:dyDescent="0.25">
      <c r="A70" s="36" t="s">
        <v>10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7" t="s">
        <v>12</v>
      </c>
      <c r="B71" s="37"/>
      <c r="C71" s="37"/>
      <c r="D71" s="37"/>
      <c r="E71" s="37"/>
      <c r="F71" s="37"/>
      <c r="G71" s="37"/>
      <c r="H71" s="37"/>
      <c r="I71" s="37"/>
      <c r="J71" s="37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5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68"/>
  <sheetViews>
    <sheetView workbookViewId="0">
      <pane xSplit="1" ySplit="11" topLeftCell="B14" activePane="bottomRight" state="frozen"/>
      <selection activeCell="B33" sqref="B33"/>
      <selection pane="topRight" activeCell="B33" sqref="B33"/>
      <selection pane="bottomLeft" activeCell="B33" sqref="B33"/>
      <selection pane="bottomRight" activeCell="A28" sqref="A28:E31"/>
    </sheetView>
  </sheetViews>
  <sheetFormatPr defaultRowHeight="15" x14ac:dyDescent="0.25"/>
  <cols>
    <col min="1" max="1" width="11.85546875" style="6" customWidth="1"/>
    <col min="2" max="2" width="15.7109375" style="21" customWidth="1"/>
    <col min="3" max="3" width="6" style="21" customWidth="1"/>
    <col min="4" max="4" width="15.7109375" style="21" customWidth="1"/>
    <col min="5" max="5" width="6.85546875" style="21" customWidth="1"/>
    <col min="6" max="6" width="2.5703125" style="21" customWidth="1"/>
    <col min="7" max="7" width="7.7109375" style="21" customWidth="1"/>
    <col min="8" max="8" width="12.85546875" style="21" customWidth="1"/>
    <col min="9" max="9" width="11.5703125" style="21" customWidth="1"/>
    <col min="10" max="10" width="11.85546875" style="21" customWidth="1"/>
    <col min="11" max="11" width="2" style="22" customWidth="1"/>
    <col min="12" max="12" width="8.28515625" style="22" customWidth="1"/>
    <col min="13" max="13" width="11" style="21" customWidth="1"/>
    <col min="14" max="14" width="1.85546875" style="21" customWidth="1"/>
    <col min="15" max="15" width="11.85546875" style="21" bestFit="1" customWidth="1"/>
    <col min="16" max="16" width="11.5703125" style="21" customWidth="1"/>
    <col min="17" max="17" width="1.85546875" style="21" customWidth="1"/>
    <col min="18" max="18" width="12.85546875" style="21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3" customFormat="1" ht="15.75" x14ac:dyDescent="0.25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3" customFormat="1" ht="14.25" customHeight="1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4"/>
      <c r="T3" s="4"/>
      <c r="U3" s="4"/>
      <c r="V3" s="4"/>
      <c r="W3" s="4"/>
    </row>
    <row r="4" spans="1:23" s="3" customFormat="1" ht="18" x14ac:dyDescent="0.25">
      <c r="A4" s="30"/>
      <c r="B4" s="30"/>
      <c r="C4" s="30"/>
      <c r="D4" s="30"/>
      <c r="E4" s="30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38" t="s">
        <v>8</v>
      </c>
      <c r="B6" s="39"/>
      <c r="C6" s="39"/>
      <c r="D6" s="39"/>
      <c r="E6" s="4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35" t="s">
        <v>7</v>
      </c>
      <c r="B8" s="35"/>
      <c r="C8" s="35"/>
      <c r="D8" s="35"/>
      <c r="E8" s="35"/>
    </row>
    <row r="9" spans="1:23" s="13" customFormat="1" ht="12.75" x14ac:dyDescent="0.2">
      <c r="A9" s="31"/>
      <c r="B9" s="31"/>
      <c r="C9" s="31"/>
      <c r="D9" s="31"/>
      <c r="E9" s="31"/>
      <c r="F9" s="12"/>
    </row>
    <row r="10" spans="1:23" s="17" customFormat="1" ht="12.75" customHeight="1" x14ac:dyDescent="0.2">
      <c r="A10" s="11"/>
      <c r="B10" s="15" t="s">
        <v>6</v>
      </c>
      <c r="C10" s="15"/>
      <c r="D10" s="15" t="s">
        <v>6</v>
      </c>
      <c r="E10" s="15"/>
      <c r="F10" s="14"/>
    </row>
    <row r="11" spans="1:23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14"/>
    </row>
    <row r="12" spans="1:23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</row>
    <row r="13" spans="1:23" x14ac:dyDescent="0.25">
      <c r="A13" s="20">
        <v>44570</v>
      </c>
      <c r="B13" s="21">
        <v>38505012.829999998</v>
      </c>
      <c r="D13" s="21">
        <v>7026956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20">
        <f t="shared" ref="A14:A24" si="0">A13+7</f>
        <v>44577</v>
      </c>
      <c r="B14" s="21">
        <v>95912065.299999997</v>
      </c>
      <c r="D14" s="21">
        <v>3895593.23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20">
        <f t="shared" si="0"/>
        <v>44584</v>
      </c>
      <c r="B15" s="21">
        <v>131058363.23</v>
      </c>
      <c r="D15" s="21">
        <v>10828663.890000001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20">
        <f t="shared" si="0"/>
        <v>44591</v>
      </c>
      <c r="B16" s="21">
        <v>102185796.58</v>
      </c>
      <c r="D16" s="21">
        <v>5347567.6400000006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20">
        <f t="shared" si="0"/>
        <v>44598</v>
      </c>
      <c r="B17" s="21">
        <v>87253254.129999995</v>
      </c>
      <c r="D17" s="21">
        <v>8689765.5199999996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20">
        <f t="shared" si="0"/>
        <v>44605</v>
      </c>
      <c r="B18" s="21">
        <v>121457820.01000001</v>
      </c>
      <c r="D18" s="21">
        <v>11322419.930000003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20">
        <f t="shared" si="0"/>
        <v>44612</v>
      </c>
      <c r="B19" s="21">
        <v>93866155.129999995</v>
      </c>
      <c r="D19" s="21">
        <v>4463927.0900000045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20">
        <f t="shared" si="0"/>
        <v>44619</v>
      </c>
      <c r="B20" s="21">
        <v>87378019.25999999</v>
      </c>
      <c r="D20" s="21">
        <v>7357053.7400000012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20">
        <f t="shared" si="0"/>
        <v>44626</v>
      </c>
      <c r="B21" s="21">
        <v>91891857.609999985</v>
      </c>
      <c r="D21" s="21">
        <v>6697258.0399999982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20">
        <f t="shared" si="0"/>
        <v>44633</v>
      </c>
      <c r="B22" s="21">
        <v>103084207.63000001</v>
      </c>
      <c r="D22" s="21">
        <v>8301068.1400000015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20">
        <f t="shared" si="0"/>
        <v>44640</v>
      </c>
      <c r="B23" s="21">
        <v>110841555.69000001</v>
      </c>
      <c r="D23" s="21">
        <v>3311250.8499999996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20">
        <f t="shared" si="0"/>
        <v>44647</v>
      </c>
      <c r="B24" s="21">
        <v>83046206.280000001</v>
      </c>
      <c r="D24" s="21">
        <v>1859707.280000004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5.75" thickBot="1" x14ac:dyDescent="0.3">
      <c r="A25" s="6" t="s">
        <v>1</v>
      </c>
      <c r="B25" s="23">
        <f>SUM(B13:B24)</f>
        <v>1146480313.6800001</v>
      </c>
      <c r="D25" s="23">
        <f>SUM(D13:D24)</f>
        <v>79101231.350000009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25">
      <c r="A27" s="25" t="s">
        <v>5</v>
      </c>
      <c r="B27" s="24"/>
      <c r="C27" s="24"/>
      <c r="D27" s="24"/>
      <c r="E27" s="24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53.25" customHeight="1" x14ac:dyDescent="0.25">
      <c r="A28" s="36" t="s">
        <v>9</v>
      </c>
      <c r="B28" s="36"/>
      <c r="C28" s="36"/>
      <c r="D28" s="36"/>
      <c r="E28" s="36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26.25" customHeight="1" x14ac:dyDescent="0.25">
      <c r="A29" s="36" t="s">
        <v>10</v>
      </c>
      <c r="B29" s="36"/>
      <c r="C29" s="36"/>
      <c r="D29" s="36"/>
      <c r="E29" s="36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26.25" customHeight="1" x14ac:dyDescent="0.25">
      <c r="A30" s="41" t="s">
        <v>11</v>
      </c>
      <c r="B30" s="41"/>
      <c r="C30" s="41"/>
      <c r="D30" s="41"/>
      <c r="E30" s="41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ht="32.25" customHeight="1" x14ac:dyDescent="0.25">
      <c r="A31" s="37" t="s">
        <v>12</v>
      </c>
      <c r="B31" s="37"/>
      <c r="C31" s="37"/>
      <c r="D31" s="37"/>
      <c r="E31" s="37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25">
      <c r="E32" s="2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5:18" x14ac:dyDescent="0.25">
      <c r="E33" s="22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5:18" x14ac:dyDescent="0.25">
      <c r="E34" s="22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5:18" x14ac:dyDescent="0.25">
      <c r="E35" s="22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5:18" x14ac:dyDescent="0.25">
      <c r="E36" s="22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5:18" x14ac:dyDescent="0.25">
      <c r="E37" s="22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5:18" x14ac:dyDescent="0.25">
      <c r="E38" s="22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5:18" x14ac:dyDescent="0.25">
      <c r="E39" s="22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5:18" x14ac:dyDescent="0.25">
      <c r="E40" s="22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5:18" x14ac:dyDescent="0.25">
      <c r="E41" s="22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5:18" x14ac:dyDescent="0.25">
      <c r="E42" s="2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5:18" x14ac:dyDescent="0.25">
      <c r="E43" s="22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5:18" x14ac:dyDescent="0.25">
      <c r="E44" s="22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5:18" x14ac:dyDescent="0.25">
      <c r="E45" s="22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5:18" x14ac:dyDescent="0.25">
      <c r="E46" s="22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5:18" x14ac:dyDescent="0.25">
      <c r="E47" s="22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5:18" x14ac:dyDescent="0.25"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25"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25"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25"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1:18" x14ac:dyDescent="0.25">
      <c r="F62" s="24"/>
      <c r="G62" s="22"/>
      <c r="K62"/>
      <c r="L62"/>
      <c r="M62"/>
      <c r="N62"/>
      <c r="O62"/>
      <c r="P62"/>
      <c r="Q62"/>
      <c r="R62"/>
    </row>
    <row r="63" spans="1:18" x14ac:dyDescent="0.25">
      <c r="F63" s="24"/>
      <c r="G63" s="22"/>
      <c r="K63"/>
      <c r="L63"/>
      <c r="M63"/>
      <c r="N63"/>
      <c r="O63"/>
      <c r="P63"/>
      <c r="Q63"/>
      <c r="R63"/>
    </row>
    <row r="64" spans="1:18" s="24" customFormat="1" x14ac:dyDescent="0.25">
      <c r="A64" s="6"/>
      <c r="B64" s="21"/>
      <c r="C64" s="21"/>
      <c r="D64" s="21"/>
      <c r="E64" s="21"/>
      <c r="F64" s="21"/>
      <c r="G64" s="21"/>
      <c r="H64" s="22"/>
      <c r="I64" s="21"/>
      <c r="J64" s="21"/>
      <c r="L64" s="22"/>
      <c r="M64" s="21"/>
      <c r="N64" s="21"/>
      <c r="O64" s="21"/>
      <c r="P64" s="21"/>
      <c r="Q64" s="21"/>
      <c r="R64" s="21"/>
    </row>
    <row r="65" spans="1:23" s="24" customFormat="1" x14ac:dyDescent="0.25">
      <c r="A65" s="6"/>
      <c r="B65" s="21"/>
      <c r="C65" s="21"/>
      <c r="D65" s="21"/>
      <c r="E65" s="21"/>
      <c r="F65" s="26"/>
      <c r="G65" s="26"/>
      <c r="H65" s="27"/>
      <c r="I65" s="26"/>
      <c r="J65" s="26"/>
      <c r="L65" s="22"/>
      <c r="M65" s="21"/>
      <c r="N65" s="21"/>
      <c r="O65" s="21"/>
      <c r="P65" s="21"/>
      <c r="Q65" s="21"/>
      <c r="R65" s="21"/>
    </row>
    <row r="66" spans="1:23" x14ac:dyDescent="0.25">
      <c r="G66" s="22"/>
      <c r="K66" s="21"/>
      <c r="L66" s="21"/>
      <c r="S66" s="21"/>
      <c r="T66" s="21"/>
    </row>
    <row r="67" spans="1:23" x14ac:dyDescent="0.25">
      <c r="G67" s="22"/>
      <c r="K67" s="26"/>
      <c r="L67" s="26"/>
      <c r="M67" s="26"/>
      <c r="N67" s="26"/>
      <c r="O67" s="26"/>
      <c r="P67" s="26"/>
      <c r="Q67" s="26"/>
      <c r="S67" s="21"/>
      <c r="T67" s="21"/>
    </row>
    <row r="68" spans="1:23" x14ac:dyDescent="0.25">
      <c r="G68" s="22"/>
    </row>
    <row r="69" spans="1:23" x14ac:dyDescent="0.25">
      <c r="G69" s="22"/>
    </row>
    <row r="70" spans="1:23" x14ac:dyDescent="0.25">
      <c r="G70" s="22"/>
    </row>
    <row r="71" spans="1:23" x14ac:dyDescent="0.25">
      <c r="G71" s="22"/>
    </row>
    <row r="72" spans="1:23" x14ac:dyDescent="0.25">
      <c r="G72" s="22"/>
    </row>
    <row r="73" spans="1:23" x14ac:dyDescent="0.25">
      <c r="G73" s="22"/>
    </row>
    <row r="74" spans="1:23" x14ac:dyDescent="0.25">
      <c r="G74" s="22"/>
    </row>
    <row r="75" spans="1:23" x14ac:dyDescent="0.25">
      <c r="G75" s="22"/>
    </row>
    <row r="76" spans="1:23" x14ac:dyDescent="0.25">
      <c r="G76" s="22"/>
    </row>
    <row r="77" spans="1:23" x14ac:dyDescent="0.25">
      <c r="G77" s="22"/>
    </row>
    <row r="78" spans="1:23" s="21" customFormat="1" x14ac:dyDescent="0.25">
      <c r="A78" s="6"/>
      <c r="G78" s="22"/>
      <c r="K78" s="22"/>
      <c r="L78" s="22"/>
      <c r="S78"/>
      <c r="T78"/>
      <c r="U78"/>
      <c r="V78"/>
      <c r="W78"/>
    </row>
    <row r="79" spans="1:23" s="21" customFormat="1" x14ac:dyDescent="0.25">
      <c r="A79" s="6"/>
      <c r="G79" s="22"/>
      <c r="K79" s="22"/>
      <c r="L79" s="22"/>
      <c r="S79"/>
      <c r="T79"/>
      <c r="U79"/>
      <c r="V79"/>
      <c r="W79"/>
    </row>
    <row r="80" spans="1:23" s="21" customFormat="1" x14ac:dyDescent="0.25">
      <c r="A80" s="6"/>
      <c r="G80" s="22"/>
      <c r="K80" s="22"/>
      <c r="L80" s="22"/>
      <c r="S80"/>
      <c r="T80"/>
      <c r="U80"/>
      <c r="V80"/>
      <c r="W80"/>
    </row>
    <row r="81" spans="1:23" s="21" customFormat="1" x14ac:dyDescent="0.25">
      <c r="A81" s="6"/>
      <c r="G81" s="22"/>
      <c r="K81" s="22"/>
      <c r="L81" s="22"/>
      <c r="S81"/>
      <c r="T81"/>
      <c r="U81"/>
      <c r="V81"/>
      <c r="W81"/>
    </row>
    <row r="82" spans="1:23" s="21" customFormat="1" x14ac:dyDescent="0.25">
      <c r="A82" s="6"/>
      <c r="G82" s="22"/>
      <c r="K82" s="22"/>
      <c r="L82" s="22"/>
      <c r="S82"/>
      <c r="T82"/>
      <c r="U82"/>
      <c r="V82"/>
      <c r="W82"/>
    </row>
    <row r="83" spans="1:23" s="21" customFormat="1" x14ac:dyDescent="0.25">
      <c r="A83" s="6"/>
      <c r="G83" s="22"/>
      <c r="K83" s="22"/>
      <c r="L83" s="22"/>
      <c r="S83"/>
      <c r="T83"/>
      <c r="U83"/>
      <c r="V83"/>
      <c r="W83"/>
    </row>
    <row r="84" spans="1:23" s="21" customFormat="1" x14ac:dyDescent="0.25">
      <c r="A84" s="6"/>
      <c r="G84" s="22"/>
      <c r="K84" s="22"/>
      <c r="L84" s="22"/>
      <c r="S84"/>
      <c r="T84"/>
      <c r="U84"/>
      <c r="V84"/>
      <c r="W84"/>
    </row>
    <row r="85" spans="1:23" s="21" customFormat="1" x14ac:dyDescent="0.25">
      <c r="A85" s="6"/>
      <c r="G85" s="22"/>
      <c r="K85" s="22"/>
      <c r="L85" s="22"/>
      <c r="S85"/>
      <c r="T85"/>
      <c r="U85"/>
      <c r="V85"/>
      <c r="W85"/>
    </row>
    <row r="86" spans="1:23" s="21" customFormat="1" x14ac:dyDescent="0.25">
      <c r="A86" s="6"/>
      <c r="G86" s="22"/>
      <c r="K86" s="22"/>
      <c r="L86" s="22"/>
      <c r="S86"/>
      <c r="T86"/>
      <c r="U86"/>
      <c r="V86"/>
      <c r="W86"/>
    </row>
    <row r="87" spans="1:23" s="21" customFormat="1" x14ac:dyDescent="0.25">
      <c r="A87" s="6"/>
      <c r="G87" s="22"/>
      <c r="K87" s="22"/>
      <c r="L87" s="22"/>
      <c r="S87"/>
      <c r="T87"/>
      <c r="U87"/>
      <c r="V87"/>
      <c r="W87"/>
    </row>
    <row r="88" spans="1:23" s="21" customFormat="1" x14ac:dyDescent="0.25">
      <c r="A88" s="6"/>
      <c r="G88" s="22"/>
      <c r="K88" s="22"/>
      <c r="L88" s="22"/>
      <c r="S88"/>
      <c r="T88"/>
      <c r="U88"/>
      <c r="V88"/>
      <c r="W88"/>
    </row>
    <row r="89" spans="1:23" s="21" customFormat="1" x14ac:dyDescent="0.25">
      <c r="A89" s="6"/>
      <c r="G89" s="22"/>
      <c r="K89" s="22"/>
      <c r="L89" s="22"/>
      <c r="S89"/>
      <c r="T89"/>
      <c r="U89"/>
      <c r="V89"/>
      <c r="W89"/>
    </row>
    <row r="90" spans="1:23" s="21" customFormat="1" x14ac:dyDescent="0.25">
      <c r="A90" s="6"/>
      <c r="G90" s="22"/>
      <c r="K90" s="22"/>
      <c r="L90" s="22"/>
      <c r="S90"/>
      <c r="T90"/>
      <c r="U90"/>
      <c r="V90"/>
      <c r="W90"/>
    </row>
    <row r="91" spans="1:23" s="21" customFormat="1" x14ac:dyDescent="0.25">
      <c r="A91" s="6"/>
      <c r="G91" s="22"/>
      <c r="K91" s="22"/>
      <c r="L91" s="22"/>
      <c r="S91"/>
      <c r="T91"/>
      <c r="U91"/>
      <c r="V91"/>
      <c r="W91"/>
    </row>
    <row r="92" spans="1:23" s="21" customFormat="1" x14ac:dyDescent="0.25">
      <c r="A92" s="6"/>
      <c r="G92" s="22"/>
      <c r="K92" s="22"/>
      <c r="L92" s="22"/>
      <c r="S92"/>
      <c r="T92"/>
      <c r="U92"/>
      <c r="V92"/>
      <c r="W92"/>
    </row>
    <row r="93" spans="1:23" s="21" customFormat="1" x14ac:dyDescent="0.25">
      <c r="A93" s="6"/>
      <c r="G93" s="22"/>
      <c r="K93" s="22"/>
      <c r="L93" s="22"/>
      <c r="S93"/>
      <c r="T93"/>
      <c r="U93"/>
      <c r="V93"/>
      <c r="W93"/>
    </row>
    <row r="94" spans="1:23" s="21" customFormat="1" x14ac:dyDescent="0.25">
      <c r="A94" s="6"/>
      <c r="G94" s="22"/>
      <c r="K94" s="22"/>
      <c r="L94" s="22"/>
      <c r="S94"/>
      <c r="T94"/>
      <c r="U94"/>
      <c r="V94"/>
      <c r="W94"/>
    </row>
    <row r="95" spans="1:23" s="21" customFormat="1" x14ac:dyDescent="0.25">
      <c r="A95" s="6"/>
      <c r="G95" s="22"/>
      <c r="K95" s="22"/>
      <c r="L95" s="22"/>
      <c r="S95"/>
      <c r="T95"/>
      <c r="U95"/>
      <c r="V95"/>
      <c r="W95"/>
    </row>
    <row r="96" spans="1:23" s="21" customFormat="1" x14ac:dyDescent="0.25">
      <c r="A96" s="6"/>
      <c r="G96" s="22"/>
      <c r="K96" s="22"/>
      <c r="L96" s="22"/>
      <c r="S96"/>
      <c r="T96"/>
      <c r="U96"/>
      <c r="V96"/>
      <c r="W96"/>
    </row>
    <row r="97" spans="1:23" s="21" customFormat="1" x14ac:dyDescent="0.25">
      <c r="A97" s="6"/>
      <c r="G97" s="22"/>
      <c r="K97" s="22"/>
      <c r="L97" s="22"/>
      <c r="S97"/>
      <c r="T97"/>
      <c r="U97"/>
      <c r="V97"/>
      <c r="W97"/>
    </row>
    <row r="98" spans="1:23" s="21" customFormat="1" x14ac:dyDescent="0.25">
      <c r="A98" s="6"/>
      <c r="G98" s="22"/>
      <c r="K98" s="22"/>
      <c r="L98" s="22"/>
      <c r="S98"/>
      <c r="T98"/>
      <c r="U98"/>
      <c r="V98"/>
      <c r="W98"/>
    </row>
    <row r="99" spans="1:23" s="21" customFormat="1" x14ac:dyDescent="0.25">
      <c r="A99" s="6"/>
      <c r="G99" s="22"/>
      <c r="K99" s="22"/>
      <c r="L99" s="22"/>
      <c r="S99"/>
      <c r="T99"/>
      <c r="U99"/>
      <c r="V99"/>
      <c r="W99"/>
    </row>
    <row r="100" spans="1:23" s="21" customFormat="1" x14ac:dyDescent="0.25">
      <c r="A100" s="6"/>
      <c r="G100" s="22"/>
      <c r="K100" s="22"/>
      <c r="L100" s="22"/>
      <c r="S100"/>
      <c r="T100"/>
      <c r="U100"/>
      <c r="V100"/>
      <c r="W100"/>
    </row>
    <row r="101" spans="1:23" s="21" customFormat="1" x14ac:dyDescent="0.25">
      <c r="A101" s="6"/>
      <c r="G101" s="22"/>
      <c r="K101" s="22"/>
      <c r="L101" s="22"/>
      <c r="S101"/>
      <c r="T101"/>
      <c r="U101"/>
      <c r="V101"/>
      <c r="W101"/>
    </row>
    <row r="102" spans="1:23" s="21" customFormat="1" x14ac:dyDescent="0.25">
      <c r="A102" s="6"/>
      <c r="G102" s="22"/>
      <c r="K102" s="22"/>
      <c r="L102" s="22"/>
      <c r="S102"/>
      <c r="T102"/>
      <c r="U102"/>
      <c r="V102"/>
      <c r="W102"/>
    </row>
    <row r="103" spans="1:23" s="21" customFormat="1" x14ac:dyDescent="0.25">
      <c r="A103" s="6"/>
      <c r="G103" s="22"/>
      <c r="K103" s="22"/>
      <c r="L103" s="22"/>
      <c r="S103"/>
      <c r="T103"/>
      <c r="U103"/>
      <c r="V103"/>
      <c r="W103"/>
    </row>
    <row r="104" spans="1:23" s="21" customFormat="1" x14ac:dyDescent="0.25">
      <c r="A104" s="6"/>
      <c r="G104" s="22"/>
      <c r="K104" s="22"/>
      <c r="L104" s="22"/>
      <c r="S104"/>
      <c r="T104"/>
      <c r="U104"/>
      <c r="V104"/>
      <c r="W104"/>
    </row>
    <row r="105" spans="1:23" s="21" customFormat="1" x14ac:dyDescent="0.25">
      <c r="A105" s="6"/>
      <c r="G105" s="22"/>
      <c r="K105" s="22"/>
      <c r="L105" s="22"/>
      <c r="S105"/>
      <c r="T105"/>
      <c r="U105"/>
      <c r="V105"/>
      <c r="W105"/>
    </row>
    <row r="106" spans="1:23" s="21" customFormat="1" x14ac:dyDescent="0.25">
      <c r="A106" s="6"/>
      <c r="G106" s="22"/>
      <c r="K106" s="22"/>
      <c r="L106" s="22"/>
      <c r="S106"/>
      <c r="T106"/>
      <c r="U106"/>
      <c r="V106"/>
      <c r="W106"/>
    </row>
    <row r="107" spans="1:23" s="21" customFormat="1" x14ac:dyDescent="0.25">
      <c r="A107" s="6"/>
      <c r="G107" s="22"/>
      <c r="K107" s="22"/>
      <c r="L107" s="22"/>
      <c r="S107"/>
      <c r="T107"/>
      <c r="U107"/>
      <c r="V107"/>
      <c r="W107"/>
    </row>
    <row r="108" spans="1:23" s="21" customFormat="1" x14ac:dyDescent="0.25">
      <c r="A108" s="6"/>
      <c r="G108" s="22"/>
      <c r="K108" s="22"/>
      <c r="L108" s="22"/>
      <c r="S108"/>
      <c r="T108"/>
      <c r="U108"/>
      <c r="V108"/>
      <c r="W108"/>
    </row>
    <row r="109" spans="1:23" s="21" customFormat="1" x14ac:dyDescent="0.25">
      <c r="A109" s="6"/>
      <c r="G109" s="22"/>
      <c r="K109" s="22"/>
      <c r="L109" s="22"/>
      <c r="S109"/>
      <c r="T109"/>
      <c r="U109"/>
      <c r="V109"/>
      <c r="W109"/>
    </row>
    <row r="110" spans="1:23" s="21" customFormat="1" x14ac:dyDescent="0.25">
      <c r="A110" s="6"/>
      <c r="G110" s="22"/>
      <c r="K110" s="22"/>
      <c r="L110" s="22"/>
      <c r="S110"/>
      <c r="T110"/>
      <c r="U110"/>
      <c r="V110"/>
      <c r="W110"/>
    </row>
    <row r="111" spans="1:23" s="21" customFormat="1" x14ac:dyDescent="0.25">
      <c r="A111" s="6"/>
      <c r="G111" s="22"/>
      <c r="K111" s="22"/>
      <c r="L111" s="22"/>
      <c r="S111"/>
      <c r="T111"/>
      <c r="U111"/>
      <c r="V111"/>
      <c r="W111"/>
    </row>
    <row r="112" spans="1:23" s="21" customFormat="1" x14ac:dyDescent="0.25">
      <c r="A112" s="6"/>
      <c r="G112" s="22"/>
      <c r="K112" s="22"/>
      <c r="L112" s="22"/>
      <c r="S112"/>
      <c r="T112"/>
      <c r="U112"/>
      <c r="V112"/>
      <c r="W112"/>
    </row>
    <row r="113" spans="1:23" s="21" customFormat="1" x14ac:dyDescent="0.25">
      <c r="A113" s="6"/>
      <c r="G113" s="22"/>
      <c r="K113" s="22"/>
      <c r="L113" s="22"/>
      <c r="S113"/>
      <c r="T113"/>
      <c r="U113"/>
      <c r="V113"/>
      <c r="W113"/>
    </row>
    <row r="114" spans="1:23" s="21" customFormat="1" x14ac:dyDescent="0.25">
      <c r="A114" s="6"/>
      <c r="G114" s="22"/>
      <c r="K114" s="22"/>
      <c r="L114" s="22"/>
      <c r="S114"/>
      <c r="T114"/>
      <c r="U114"/>
      <c r="V114"/>
      <c r="W114"/>
    </row>
    <row r="115" spans="1:23" s="21" customFormat="1" x14ac:dyDescent="0.25">
      <c r="A115" s="6"/>
      <c r="G115" s="22"/>
      <c r="K115" s="22"/>
      <c r="L115" s="22"/>
      <c r="S115"/>
      <c r="T115"/>
      <c r="U115"/>
      <c r="V115"/>
      <c r="W115"/>
    </row>
    <row r="116" spans="1:23" s="21" customFormat="1" x14ac:dyDescent="0.25">
      <c r="A116" s="6"/>
      <c r="G116" s="22"/>
      <c r="K116" s="22"/>
      <c r="L116" s="22"/>
      <c r="S116"/>
      <c r="T116"/>
      <c r="U116"/>
      <c r="V116"/>
      <c r="W116"/>
    </row>
    <row r="117" spans="1:23" s="21" customFormat="1" x14ac:dyDescent="0.25">
      <c r="A117" s="6"/>
      <c r="G117" s="22"/>
      <c r="K117" s="22"/>
      <c r="L117" s="22"/>
      <c r="S117"/>
      <c r="T117"/>
      <c r="U117"/>
      <c r="V117"/>
      <c r="W117"/>
    </row>
    <row r="118" spans="1:23" s="21" customFormat="1" x14ac:dyDescent="0.25">
      <c r="A118" s="6"/>
      <c r="G118" s="22"/>
      <c r="K118" s="22"/>
      <c r="L118" s="22"/>
      <c r="S118"/>
      <c r="T118"/>
      <c r="U118"/>
      <c r="V118"/>
      <c r="W118"/>
    </row>
    <row r="119" spans="1:23" s="21" customFormat="1" x14ac:dyDescent="0.25">
      <c r="A119" s="6"/>
      <c r="G119" s="22"/>
      <c r="K119" s="22"/>
      <c r="L119" s="22"/>
      <c r="S119"/>
      <c r="T119"/>
      <c r="U119"/>
      <c r="V119"/>
      <c r="W119"/>
    </row>
    <row r="120" spans="1:23" s="21" customFormat="1" x14ac:dyDescent="0.25">
      <c r="A120" s="6"/>
      <c r="G120" s="22"/>
      <c r="K120" s="22"/>
      <c r="L120" s="22"/>
      <c r="S120"/>
      <c r="T120"/>
      <c r="U120"/>
      <c r="V120"/>
      <c r="W120"/>
    </row>
    <row r="121" spans="1:23" s="21" customFormat="1" x14ac:dyDescent="0.25">
      <c r="A121" s="6"/>
      <c r="G121" s="22"/>
      <c r="K121" s="22"/>
      <c r="L121" s="22"/>
      <c r="S121"/>
      <c r="T121"/>
      <c r="U121"/>
      <c r="V121"/>
      <c r="W121"/>
    </row>
    <row r="122" spans="1:23" s="21" customFormat="1" x14ac:dyDescent="0.25">
      <c r="A122" s="6"/>
      <c r="G122" s="22"/>
      <c r="K122" s="22"/>
      <c r="L122" s="22"/>
      <c r="S122"/>
      <c r="T122"/>
      <c r="U122"/>
      <c r="V122"/>
      <c r="W122"/>
    </row>
    <row r="123" spans="1:23" s="21" customFormat="1" x14ac:dyDescent="0.25">
      <c r="A123" s="6"/>
      <c r="G123" s="22"/>
      <c r="K123" s="22"/>
      <c r="L123" s="22"/>
      <c r="S123"/>
      <c r="T123"/>
      <c r="U123"/>
      <c r="V123"/>
      <c r="W123"/>
    </row>
    <row r="124" spans="1:23" s="21" customFormat="1" x14ac:dyDescent="0.25">
      <c r="A124" s="6"/>
      <c r="G124" s="22"/>
      <c r="K124" s="22"/>
      <c r="L124" s="22"/>
      <c r="S124"/>
      <c r="T124"/>
      <c r="U124"/>
      <c r="V124"/>
      <c r="W124"/>
    </row>
    <row r="125" spans="1:23" s="21" customFormat="1" x14ac:dyDescent="0.25">
      <c r="A125" s="6"/>
      <c r="G125" s="22"/>
      <c r="K125" s="22"/>
      <c r="L125" s="22"/>
      <c r="S125"/>
      <c r="T125"/>
      <c r="U125"/>
      <c r="V125"/>
      <c r="W125"/>
    </row>
    <row r="126" spans="1:23" s="21" customFormat="1" x14ac:dyDescent="0.25">
      <c r="A126" s="6"/>
      <c r="G126" s="22"/>
      <c r="K126" s="22"/>
      <c r="L126" s="22"/>
      <c r="S126"/>
      <c r="T126"/>
      <c r="U126"/>
      <c r="V126"/>
      <c r="W126"/>
    </row>
    <row r="127" spans="1:23" s="21" customFormat="1" x14ac:dyDescent="0.25">
      <c r="A127" s="6"/>
      <c r="G127" s="22"/>
      <c r="K127" s="22"/>
      <c r="L127" s="22"/>
      <c r="S127"/>
      <c r="T127"/>
      <c r="U127"/>
      <c r="V127"/>
      <c r="W127"/>
    </row>
    <row r="128" spans="1:23" s="21" customFormat="1" x14ac:dyDescent="0.25">
      <c r="A128" s="6"/>
      <c r="G128" s="22"/>
      <c r="K128" s="22"/>
      <c r="L128" s="22"/>
      <c r="S128"/>
      <c r="T128"/>
      <c r="U128"/>
      <c r="V128"/>
      <c r="W128"/>
    </row>
    <row r="129" spans="1:23" s="21" customFormat="1" x14ac:dyDescent="0.25">
      <c r="A129" s="6"/>
      <c r="G129" s="22"/>
      <c r="K129" s="22"/>
      <c r="L129" s="22"/>
      <c r="S129"/>
      <c r="T129"/>
      <c r="U129"/>
      <c r="V129"/>
      <c r="W129"/>
    </row>
    <row r="130" spans="1:23" s="21" customFormat="1" x14ac:dyDescent="0.25">
      <c r="A130" s="6"/>
      <c r="G130" s="22"/>
      <c r="K130" s="22"/>
      <c r="L130" s="22"/>
      <c r="S130"/>
      <c r="T130"/>
      <c r="U130"/>
      <c r="V130"/>
      <c r="W130"/>
    </row>
    <row r="131" spans="1:23" s="21" customFormat="1" x14ac:dyDescent="0.25">
      <c r="A131" s="6"/>
      <c r="G131" s="22"/>
      <c r="K131" s="22"/>
      <c r="L131" s="22"/>
      <c r="S131"/>
      <c r="T131"/>
      <c r="U131"/>
      <c r="V131"/>
      <c r="W131"/>
    </row>
    <row r="132" spans="1:23" s="21" customFormat="1" x14ac:dyDescent="0.25">
      <c r="A132" s="6"/>
      <c r="G132" s="22"/>
      <c r="K132" s="22"/>
      <c r="L132" s="22"/>
      <c r="S132"/>
      <c r="T132"/>
      <c r="U132"/>
      <c r="V132"/>
      <c r="W132"/>
    </row>
    <row r="133" spans="1:23" s="21" customFormat="1" x14ac:dyDescent="0.25">
      <c r="A133" s="6"/>
      <c r="G133" s="22"/>
      <c r="K133" s="22"/>
      <c r="L133" s="22"/>
      <c r="S133"/>
      <c r="T133"/>
      <c r="U133"/>
      <c r="V133"/>
      <c r="W133"/>
    </row>
    <row r="134" spans="1:23" s="21" customFormat="1" x14ac:dyDescent="0.25">
      <c r="A134" s="6"/>
      <c r="G134" s="22"/>
      <c r="K134" s="22"/>
      <c r="L134" s="22"/>
      <c r="S134"/>
      <c r="T134"/>
      <c r="U134"/>
      <c r="V134"/>
      <c r="W134"/>
    </row>
    <row r="135" spans="1:23" s="21" customFormat="1" x14ac:dyDescent="0.25">
      <c r="A135" s="6"/>
      <c r="G135" s="22"/>
      <c r="K135" s="22"/>
      <c r="L135" s="22"/>
      <c r="S135"/>
      <c r="T135"/>
      <c r="U135"/>
      <c r="V135"/>
      <c r="W135"/>
    </row>
    <row r="136" spans="1:23" s="21" customFormat="1" x14ac:dyDescent="0.25">
      <c r="A136" s="6"/>
      <c r="G136" s="22"/>
      <c r="K136" s="22"/>
      <c r="L136" s="22"/>
      <c r="S136"/>
      <c r="T136"/>
      <c r="U136"/>
      <c r="V136"/>
      <c r="W136"/>
    </row>
    <row r="137" spans="1:23" s="21" customFormat="1" x14ac:dyDescent="0.25">
      <c r="A137" s="6"/>
      <c r="G137" s="22"/>
      <c r="K137" s="22"/>
      <c r="L137" s="22"/>
      <c r="S137"/>
      <c r="T137"/>
      <c r="U137"/>
      <c r="V137"/>
      <c r="W137"/>
    </row>
    <row r="138" spans="1:23" s="21" customFormat="1" x14ac:dyDescent="0.25">
      <c r="A138" s="6"/>
      <c r="G138" s="22"/>
      <c r="K138" s="22"/>
      <c r="L138" s="22"/>
      <c r="S138"/>
      <c r="T138"/>
      <c r="U138"/>
      <c r="V138"/>
      <c r="W138"/>
    </row>
    <row r="139" spans="1:23" s="21" customFormat="1" x14ac:dyDescent="0.25">
      <c r="A139" s="6"/>
      <c r="G139" s="22"/>
      <c r="K139" s="22"/>
      <c r="L139" s="22"/>
      <c r="S139"/>
      <c r="T139"/>
      <c r="U139"/>
      <c r="V139"/>
      <c r="W139"/>
    </row>
    <row r="140" spans="1:23" s="21" customFormat="1" x14ac:dyDescent="0.25">
      <c r="A140" s="6"/>
      <c r="G140" s="22"/>
      <c r="K140" s="22"/>
      <c r="L140" s="22"/>
      <c r="S140"/>
      <c r="T140"/>
      <c r="U140"/>
      <c r="V140"/>
      <c r="W140"/>
    </row>
    <row r="141" spans="1:23" s="21" customFormat="1" x14ac:dyDescent="0.25">
      <c r="A141" s="6"/>
      <c r="G141" s="22"/>
      <c r="K141" s="22"/>
      <c r="L141" s="22"/>
      <c r="S141"/>
      <c r="T141"/>
      <c r="U141"/>
      <c r="V141"/>
      <c r="W141"/>
    </row>
    <row r="142" spans="1:23" s="21" customFormat="1" x14ac:dyDescent="0.25">
      <c r="A142" s="6"/>
      <c r="G142" s="22"/>
      <c r="K142" s="22"/>
      <c r="L142" s="22"/>
      <c r="S142"/>
      <c r="T142"/>
      <c r="U142"/>
      <c r="V142"/>
      <c r="W142"/>
    </row>
    <row r="143" spans="1:23" s="21" customFormat="1" x14ac:dyDescent="0.25">
      <c r="A143" s="6"/>
      <c r="G143" s="22"/>
      <c r="K143" s="22"/>
      <c r="L143" s="22"/>
      <c r="S143"/>
      <c r="T143"/>
      <c r="U143"/>
      <c r="V143"/>
      <c r="W143"/>
    </row>
    <row r="144" spans="1:23" s="21" customFormat="1" x14ac:dyDescent="0.25">
      <c r="A144" s="6"/>
      <c r="G144" s="22"/>
      <c r="K144" s="22"/>
      <c r="L144" s="22"/>
      <c r="S144"/>
      <c r="T144"/>
      <c r="U144"/>
      <c r="V144"/>
      <c r="W144"/>
    </row>
    <row r="145" spans="1:23" s="21" customFormat="1" x14ac:dyDescent="0.25">
      <c r="A145" s="6"/>
      <c r="G145" s="22"/>
      <c r="K145" s="22"/>
      <c r="L145" s="22"/>
      <c r="S145"/>
      <c r="T145"/>
      <c r="U145"/>
      <c r="V145"/>
      <c r="W145"/>
    </row>
    <row r="146" spans="1:23" s="21" customFormat="1" x14ac:dyDescent="0.25">
      <c r="A146" s="6"/>
      <c r="G146" s="22"/>
      <c r="K146" s="22"/>
      <c r="L146" s="22"/>
      <c r="S146"/>
      <c r="T146"/>
      <c r="U146"/>
      <c r="V146"/>
      <c r="W146"/>
    </row>
    <row r="147" spans="1:23" s="21" customFormat="1" x14ac:dyDescent="0.25">
      <c r="A147" s="6"/>
      <c r="G147" s="22"/>
      <c r="K147" s="22"/>
      <c r="L147" s="22"/>
      <c r="S147"/>
      <c r="T147"/>
      <c r="U147"/>
      <c r="V147"/>
      <c r="W147"/>
    </row>
    <row r="148" spans="1:23" s="21" customFormat="1" x14ac:dyDescent="0.25">
      <c r="A148" s="6"/>
      <c r="G148" s="22"/>
      <c r="K148" s="22"/>
      <c r="L148" s="22"/>
      <c r="S148"/>
      <c r="T148"/>
      <c r="U148"/>
      <c r="V148"/>
      <c r="W148"/>
    </row>
    <row r="149" spans="1:23" s="21" customFormat="1" x14ac:dyDescent="0.25">
      <c r="A149" s="6"/>
      <c r="G149" s="22"/>
      <c r="K149" s="22"/>
      <c r="L149" s="22"/>
      <c r="S149"/>
      <c r="T149"/>
      <c r="U149"/>
      <c r="V149"/>
      <c r="W149"/>
    </row>
    <row r="150" spans="1:23" s="21" customFormat="1" x14ac:dyDescent="0.25">
      <c r="A150" s="6"/>
      <c r="G150" s="22"/>
      <c r="K150" s="22"/>
      <c r="L150" s="22"/>
      <c r="S150"/>
      <c r="T150"/>
      <c r="U150"/>
      <c r="V150"/>
      <c r="W150"/>
    </row>
    <row r="151" spans="1:23" s="21" customFormat="1" x14ac:dyDescent="0.25">
      <c r="A151" s="6"/>
      <c r="G151" s="22"/>
      <c r="K151" s="22"/>
      <c r="L151" s="22"/>
      <c r="S151"/>
      <c r="T151"/>
      <c r="U151"/>
      <c r="V151"/>
      <c r="W151"/>
    </row>
    <row r="152" spans="1:23" s="21" customFormat="1" x14ac:dyDescent="0.25">
      <c r="A152" s="6"/>
      <c r="G152" s="22"/>
      <c r="K152" s="22"/>
      <c r="L152" s="22"/>
      <c r="S152"/>
      <c r="T152"/>
      <c r="U152"/>
      <c r="V152"/>
      <c r="W152"/>
    </row>
    <row r="153" spans="1:23" s="21" customFormat="1" x14ac:dyDescent="0.25">
      <c r="A153" s="6"/>
      <c r="G153" s="22"/>
      <c r="K153" s="22"/>
      <c r="L153" s="22"/>
      <c r="S153"/>
      <c r="T153"/>
      <c r="U153"/>
      <c r="V153"/>
      <c r="W153"/>
    </row>
    <row r="154" spans="1:23" s="21" customFormat="1" x14ac:dyDescent="0.25">
      <c r="A154" s="6"/>
      <c r="G154" s="22"/>
      <c r="K154" s="22"/>
      <c r="L154" s="22"/>
      <c r="S154"/>
      <c r="T154"/>
      <c r="U154"/>
      <c r="V154"/>
      <c r="W154"/>
    </row>
    <row r="155" spans="1:23" s="21" customFormat="1" x14ac:dyDescent="0.25">
      <c r="A155" s="6"/>
      <c r="G155" s="22"/>
      <c r="K155" s="22"/>
      <c r="L155" s="22"/>
      <c r="S155"/>
      <c r="T155"/>
      <c r="U155"/>
      <c r="V155"/>
      <c r="W155"/>
    </row>
    <row r="156" spans="1:23" s="21" customFormat="1" x14ac:dyDescent="0.25">
      <c r="A156" s="6"/>
      <c r="G156" s="22"/>
      <c r="K156" s="22"/>
      <c r="L156" s="22"/>
      <c r="S156"/>
      <c r="T156"/>
      <c r="U156"/>
      <c r="V156"/>
      <c r="W156"/>
    </row>
    <row r="157" spans="1:23" s="21" customFormat="1" x14ac:dyDescent="0.25">
      <c r="A157" s="6"/>
      <c r="G157" s="22"/>
      <c r="K157" s="22"/>
      <c r="L157" s="22"/>
      <c r="S157"/>
      <c r="T157"/>
      <c r="U157"/>
      <c r="V157"/>
      <c r="W157"/>
    </row>
    <row r="158" spans="1:23" s="21" customFormat="1" x14ac:dyDescent="0.25">
      <c r="A158" s="6"/>
      <c r="G158" s="22"/>
      <c r="K158" s="22"/>
      <c r="L158" s="22"/>
      <c r="S158"/>
      <c r="T158"/>
      <c r="U158"/>
      <c r="V158"/>
      <c r="W158"/>
    </row>
    <row r="159" spans="1:23" s="21" customFormat="1" x14ac:dyDescent="0.25">
      <c r="A159" s="6"/>
      <c r="G159" s="22"/>
      <c r="K159" s="22"/>
      <c r="L159" s="22"/>
      <c r="S159"/>
      <c r="T159"/>
      <c r="U159"/>
      <c r="V159"/>
      <c r="W159"/>
    </row>
    <row r="160" spans="1:23" s="21" customFormat="1" x14ac:dyDescent="0.25">
      <c r="A160" s="6"/>
      <c r="G160" s="22"/>
      <c r="K160" s="22"/>
      <c r="L160" s="22"/>
      <c r="S160"/>
      <c r="T160"/>
      <c r="U160"/>
      <c r="V160"/>
      <c r="W160"/>
    </row>
    <row r="161" spans="1:23" s="21" customFormat="1" x14ac:dyDescent="0.25">
      <c r="A161" s="6"/>
      <c r="G161" s="22"/>
      <c r="K161" s="22"/>
      <c r="L161" s="22"/>
      <c r="S161"/>
      <c r="T161"/>
      <c r="U161"/>
      <c r="V161"/>
      <c r="W161"/>
    </row>
    <row r="162" spans="1:23" s="21" customFormat="1" x14ac:dyDescent="0.25">
      <c r="A162" s="6"/>
      <c r="G162" s="22"/>
      <c r="K162" s="22"/>
      <c r="L162" s="22"/>
      <c r="S162"/>
      <c r="T162"/>
      <c r="U162"/>
      <c r="V162"/>
      <c r="W162"/>
    </row>
    <row r="163" spans="1:23" s="21" customFormat="1" x14ac:dyDescent="0.25">
      <c r="A163" s="6"/>
      <c r="G163" s="22"/>
      <c r="K163" s="22"/>
      <c r="L163" s="22"/>
      <c r="S163"/>
      <c r="T163"/>
      <c r="U163"/>
      <c r="V163"/>
      <c r="W163"/>
    </row>
    <row r="164" spans="1:23" s="21" customFormat="1" x14ac:dyDescent="0.25">
      <c r="A164" s="6"/>
      <c r="G164" s="22"/>
      <c r="K164" s="22"/>
      <c r="L164" s="22"/>
      <c r="S164"/>
      <c r="T164"/>
      <c r="U164"/>
      <c r="V164"/>
      <c r="W164"/>
    </row>
    <row r="165" spans="1:23" s="21" customFormat="1" x14ac:dyDescent="0.25">
      <c r="A165" s="6"/>
      <c r="G165" s="22"/>
      <c r="K165" s="22"/>
      <c r="L165" s="22"/>
      <c r="S165"/>
      <c r="T165"/>
      <c r="U165"/>
      <c r="V165"/>
      <c r="W165"/>
    </row>
    <row r="166" spans="1:23" s="21" customFormat="1" x14ac:dyDescent="0.25">
      <c r="A166" s="6"/>
      <c r="G166" s="22"/>
      <c r="K166" s="22"/>
      <c r="L166" s="22"/>
      <c r="S166"/>
      <c r="T166"/>
      <c r="U166"/>
      <c r="V166"/>
      <c r="W166"/>
    </row>
    <row r="167" spans="1:23" s="21" customFormat="1" x14ac:dyDescent="0.25">
      <c r="A167" s="6"/>
      <c r="K167" s="22"/>
      <c r="L167" s="22"/>
      <c r="S167"/>
      <c r="T167"/>
      <c r="U167"/>
      <c r="V167"/>
      <c r="W167"/>
    </row>
    <row r="168" spans="1:23" s="21" customFormat="1" x14ac:dyDescent="0.25">
      <c r="A168" s="6"/>
      <c r="K168" s="22"/>
      <c r="L168" s="22"/>
      <c r="S168"/>
      <c r="T168"/>
      <c r="U168"/>
      <c r="V168"/>
      <c r="W168"/>
    </row>
  </sheetData>
  <mergeCells count="6">
    <mergeCell ref="A8:E8"/>
    <mergeCell ref="A28:E28"/>
    <mergeCell ref="A31:E31"/>
    <mergeCell ref="A6:E6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2026-04-29T16:09:33Z</cp:lastPrinted>
  <dcterms:created xsi:type="dcterms:W3CDTF">2022-01-10T16:49:23Z</dcterms:created>
  <dcterms:modified xsi:type="dcterms:W3CDTF">2026-08-12T15:45:44Z</dcterms:modified>
</cp:coreProperties>
</file>