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2C230CE9-1F14-4B52-BE93-7940E90DD37E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<sst xmlns="http://schemas.openxmlformats.org/spreadsheetml/2006/main" count="85" uniqueCount="18">
  <si>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</si>
  <si>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</si>
  <si>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</si>
  <si>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</si>
  <si>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</si>
  <si>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</si>
  <si>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</si>
  <si>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</si>
  <si>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</si>
  <si>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</si>
  <si>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FanDuel</t>
  </si>
  <si>
    <t xml:space="preserve">2) Mobile Sports Wagering Gross Gaming Revenue (GGR) is taxed at 51%. </t>
  </si>
  <si>
    <t>3) FanDuel Sportsbook began operating in NY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</si>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</sst>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0" fontId="7" fillId="0" borderId="0" xfId="0" applyFont="1" applyFill="1" applyAlignment="1">
      <alignment horizontal="center"/>
    </xf>
    <xf numFmtId="164" fontId="6" fillId="0" borderId="0" xfId="0" applyNumberFormat="1" applyFont="1" applyFill="1" applyBorder="1" applyAlignment="1"/>
    <xf numFmtId="164" fontId="6" fillId="0" borderId="6" xfId="0" applyNumberFormat="1" applyFont="1" applyFill="1" applyBorder="1" applyAlignment="1"/>
    <xf numFmtId="6" fontId="0" fillId="0" borderId="0" xfId="0" applyNumberFormat="1" applyBorder="1"/>
    <xf numFmtId="6" fontId="2" fillId="0" borderId="0" xfId="0" applyNumberFormat="1" applyFont="1" applyAlignment="1"/>
    <xf numFmtId="6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/>
    <xf numFmtId="6" fontId="1" fillId="0" borderId="0" xfId="0" applyNumberFormat="1" applyFont="1" applyAlignment="1"/>
    <xf numFmtId="6" fontId="3" fillId="0" borderId="0" xfId="1" applyNumberFormat="1" applyAlignment="1" applyProtection="1"/>
    <xf numFmtId="5" fontId="0" fillId="0" borderId="5" xfId="0" applyNumberFormat="1" applyBorder="1"/>
    <xf numFmtId="38" fontId="8" fillId="0" borderId="0" xfId="0" applyNumberFormat="1" applyFont="1" applyBorder="1" applyAlignment="1">
      <alignment horizontal="center" vertical="center" wrapText="1"/>
    </xf>
    <xf numFmtId="6" fontId="1" fillId="0" borderId="0" xfId="0" applyNumberFormat="1" applyFont="1"/>
    <xf numFmtId="6" fontId="2" fillId="0" borderId="0" xfId="0" applyNumberFormat="1" applyFont="1" applyAlignment="1">
      <alignment horizontal="center"/>
    </xf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7" fontId="0" fillId="0" borderId="5" xfId="0" applyNumberFormat="1" applyBorder="1"/>
    <xf numFmtId="6" fontId="0" fillId="0" borderId="0" xfId="0" applyNumberFormat="1" applyProtection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6" fontId="10" fillId="0" borderId="0" xfId="0" applyNumberFormat="1" applyFont="1" applyAlignment="1">
      <alignment horizontal="left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A0C20-0616-4048-8657-7213414FCE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F3971B-CDC1-427C-BDD0-57D42625E7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E64265-9224-4345-B071-B86C627EF1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A7063-1DDA-4AE4-ABCC-0CA65DA43C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0C28D3-F4DF-43E0-A70E-B5C4044A47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114300</xdr:rowOff>
    </xdr:from>
    <xdr:to>
      <xdr:col>1</xdr:col>
      <xdr:colOff>914400</xdr:colOff>
      <xdr:row>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1FFE47-934A-4188-A783-B02922B0350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143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F154-9966-4331-973B-6B5F10A8C0D3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27" sqref="F27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"/>
      <c r="U3" s="3"/>
      <c r="V3" s="3"/>
      <c r="W3" s="3"/>
      <c r="X3" s="3"/>
    </row>
    <row r="4" spans="1:24" s="2" customFormat="1" ht="18" x14ac:dyDescent="0.25">
      <c r="B4" s="40"/>
      <c r="C4" s="40"/>
      <c r="D4" s="40"/>
      <c r="E4" s="40"/>
      <c r="F4" s="40"/>
      <c r="G4" s="40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50" t="s">
        <v>17</v>
      </c>
      <c r="B6" s="50"/>
      <c r="C6" s="50"/>
      <c r="D6" s="50"/>
      <c r="E6" s="50"/>
      <c r="F6" s="50"/>
      <c r="G6" s="50"/>
      <c r="H6" s="50"/>
      <c r="I6" s="50"/>
      <c r="J6" s="50"/>
      <c r="K6" s="42"/>
      <c r="L6" s="42"/>
      <c r="M6" s="42"/>
      <c r="N6" s="42"/>
      <c r="O6" s="42"/>
      <c r="P6" s="42"/>
      <c r="Q6" s="42"/>
      <c r="R6" s="42"/>
      <c r="S6" s="42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51" t="s">
        <v>7</v>
      </c>
      <c r="C8" s="51"/>
      <c r="D8" s="51"/>
      <c r="E8" s="51"/>
      <c r="F8" s="51"/>
      <c r="G8" s="51"/>
    </row>
    <row r="9" spans="1:24" s="12" customFormat="1" ht="12.75" x14ac:dyDescent="0.2">
      <c r="B9" s="49"/>
      <c r="C9" s="49"/>
      <c r="D9" s="49"/>
      <c r="E9" s="49"/>
      <c r="F9" s="49"/>
      <c r="G9" s="49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46110</v>
      </c>
      <c r="B13" s="19"/>
      <c r="C13" s="20">
        <v>174167197.76999998</v>
      </c>
      <c r="F13" s="22">
        <v>16667026.150000002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174079667.19000003</v>
      </c>
      <c r="F14" s="22">
        <v>24198762.800000008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170200268.79999998</v>
      </c>
      <c r="F15" s="22">
        <v>23441496.457999997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172518047.95000002</v>
      </c>
      <c r="F16" s="22">
        <v>22492768.830000006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201358511.19</v>
      </c>
      <c r="F17" s="22">
        <v>22796178.768500015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176581505.13999999</v>
      </c>
      <c r="F18" s="22">
        <v>21270407.780000005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186989066.56</v>
      </c>
      <c r="F19" s="22">
        <v>27197848.889999993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154696732.41</v>
      </c>
      <c r="F20" s="22">
        <v>23476012.490000002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175736744.05000001</v>
      </c>
      <c r="F21" s="22">
        <v>22388110.389999989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170993121.64000002</v>
      </c>
      <c r="F22" s="22">
        <v>11030004.479300007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154759208.31</v>
      </c>
      <c r="F23" s="22">
        <v>11517920.095599998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220845888.63000003</v>
      </c>
      <c r="F24" s="22">
        <v>-22574160.995000005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197643614.38999999</v>
      </c>
      <c r="F25" s="22">
        <v>24458284.709999997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178427790.03</v>
      </c>
      <c r="F26" s="22">
        <v>25667735.719999995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187715921.02000001</v>
      </c>
      <c r="F27" s="22">
        <v>13578970.560000006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F28" s="22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F29" s="22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F30" s="22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F31" s="22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F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F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F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F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F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F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F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F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F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2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2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2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2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2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2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2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2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2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2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2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2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2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2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2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2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2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2696713285.0800004</v>
      </c>
      <c r="F67" s="44">
        <f>SUM(F13:F66)</f>
        <v>267607367.12640005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2" t="s">
        <v>9</v>
      </c>
      <c r="B70" s="52"/>
      <c r="C70" s="52"/>
      <c r="D70" s="52"/>
      <c r="E70" s="52"/>
      <c r="F70" s="52"/>
      <c r="G70" s="52"/>
      <c r="H70" s="52"/>
      <c r="I70" s="52"/>
      <c r="J70" s="5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2" t="s">
        <v>11</v>
      </c>
      <c r="B71" s="52"/>
      <c r="C71" s="52"/>
      <c r="D71" s="52"/>
      <c r="E71" s="52"/>
      <c r="F71" s="52"/>
      <c r="G71" s="52"/>
      <c r="H71" s="52"/>
      <c r="I71" s="52"/>
      <c r="J71" s="5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3" t="s">
        <v>10</v>
      </c>
      <c r="B72" s="53"/>
      <c r="C72" s="53"/>
      <c r="D72" s="53"/>
      <c r="E72" s="53"/>
      <c r="F72" s="53"/>
      <c r="G72" s="53"/>
      <c r="H72" s="53"/>
      <c r="I72" s="53"/>
      <c r="J72" s="5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EF36-6F95-49B8-8C33-97549A1728FA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"/>
      <c r="U3" s="3"/>
      <c r="V3" s="3"/>
      <c r="W3" s="3"/>
      <c r="X3" s="3"/>
    </row>
    <row r="4" spans="1:24" s="2" customFormat="1" ht="18" x14ac:dyDescent="0.25">
      <c r="B4" s="40"/>
      <c r="C4" s="40"/>
      <c r="D4" s="40"/>
      <c r="E4" s="40"/>
      <c r="F4" s="40"/>
      <c r="G4" s="40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50" t="s">
        <v>16</v>
      </c>
      <c r="B6" s="50"/>
      <c r="C6" s="50"/>
      <c r="D6" s="50"/>
      <c r="E6" s="50"/>
      <c r="F6" s="50"/>
      <c r="G6" s="50"/>
      <c r="H6" s="50"/>
      <c r="I6" s="50"/>
      <c r="J6" s="50"/>
      <c r="K6" s="42"/>
      <c r="L6" s="42"/>
      <c r="M6" s="42"/>
      <c r="N6" s="42"/>
      <c r="O6" s="42"/>
      <c r="P6" s="42"/>
      <c r="Q6" s="42"/>
      <c r="R6" s="42"/>
      <c r="S6" s="42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51" t="s">
        <v>7</v>
      </c>
      <c r="C8" s="51"/>
      <c r="D8" s="51"/>
      <c r="E8" s="51"/>
      <c r="F8" s="51"/>
      <c r="G8" s="51"/>
    </row>
    <row r="9" spans="1:24" s="12" customFormat="1" ht="12.75" x14ac:dyDescent="0.2">
      <c r="B9" s="48"/>
      <c r="C9" s="48"/>
      <c r="D9" s="48"/>
      <c r="E9" s="48"/>
      <c r="F9" s="48"/>
      <c r="G9" s="48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45746</v>
      </c>
      <c r="B13" s="19"/>
      <c r="C13" s="20">
        <v>197804320.32999998</v>
      </c>
      <c r="F13" s="20">
        <v>4285892.8400000036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212285693.72</v>
      </c>
      <c r="F14" s="20">
        <v>15555467.109999988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179832054.59</v>
      </c>
      <c r="F15" s="20">
        <v>21865289.960000008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180762490.68000001</v>
      </c>
      <c r="F16" s="20">
        <v>11449750.390000008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197609596.03999996</v>
      </c>
      <c r="F17" s="20">
        <v>24114018.640000001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180508704.21000001</v>
      </c>
      <c r="F18" s="20">
        <v>26188379.870000005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194046063.12999997</v>
      </c>
      <c r="F19" s="20">
        <v>19505197.72000001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185482741.06</v>
      </c>
      <c r="F20" s="20">
        <v>22904458.560000002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170788381.49999997</v>
      </c>
      <c r="F21" s="20">
        <v>26436257.43999999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169940624.58000001</v>
      </c>
      <c r="F22" s="20">
        <v>26370023.370000001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137737062.36000001</v>
      </c>
      <c r="F23" s="20">
        <v>19762105.960000001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131449929.41</v>
      </c>
      <c r="F24" s="20">
        <v>21961446.970000006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138900477.13</v>
      </c>
      <c r="F25" s="20">
        <v>25195395.950000007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119854154.68000001</v>
      </c>
      <c r="F26" s="20">
        <v>15350126.320000002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119310674.94</v>
      </c>
      <c r="F27" s="20">
        <v>13492312.499999996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112142063.56</v>
      </c>
      <c r="F28" s="20">
        <v>15108079.08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89509523.680000007</v>
      </c>
      <c r="F29" s="20">
        <v>14536556.32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113524252.14000002</v>
      </c>
      <c r="F30" s="20">
        <v>11795276.130000005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111723683.98</v>
      </c>
      <c r="F31" s="20">
        <v>16690299.259999996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113606777.84000002</v>
      </c>
      <c r="F32" s="20">
        <v>13621162.930000003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117264876.41</v>
      </c>
      <c r="F33" s="20">
        <v>14201462.370000001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125648322.61000001</v>
      </c>
      <c r="F34" s="20">
        <v>11167646.130000001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152512535.81</v>
      </c>
      <c r="F35" s="20">
        <v>21652539.539999999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173672799.06999999</v>
      </c>
      <c r="F36" s="20">
        <v>14553305.090000002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175030243.85999998</v>
      </c>
      <c r="F37" s="20">
        <v>24095325.300000001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193134656.41000003</v>
      </c>
      <c r="F38" s="20">
        <v>23933688.890000001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203978285.30000001</v>
      </c>
      <c r="F39" s="20">
        <v>13733637.799999986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218719835.98000002</v>
      </c>
      <c r="F40" s="20">
        <v>13194880.109999996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207667681.13999999</v>
      </c>
      <c r="F41" s="20">
        <v>31580236.550000008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211664810.66</v>
      </c>
      <c r="F42" s="20">
        <v>11382628.409999996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251678003.55000001</v>
      </c>
      <c r="F43" s="20">
        <v>22208941.510000013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258004600.07999998</v>
      </c>
      <c r="F44" s="20">
        <v>33691886.850000009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231319587.27000001</v>
      </c>
      <c r="F45" s="20">
        <v>36060679.149999991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215627758.94999999</v>
      </c>
      <c r="F46" s="20">
        <v>26718080.431999996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209034253.98999998</v>
      </c>
      <c r="F47" s="20">
        <v>28405015.609999999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246890963.5</v>
      </c>
      <c r="F48" s="20">
        <v>30544202.539999992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204196518.27000001</v>
      </c>
      <c r="F49" s="20">
        <v>39896511.990000002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180034710.45000002</v>
      </c>
      <c r="F50" s="20">
        <v>23581025.449999996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208520597.46000004</v>
      </c>
      <c r="F51" s="20">
        <v>14196411.550000008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190820529.24000001</v>
      </c>
      <c r="F52" s="20">
        <v>29149680.740000002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200578769.56999999</v>
      </c>
      <c r="F53" s="20">
        <v>34306387.480000012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200135767.38</v>
      </c>
      <c r="F54" s="20">
        <v>20328285.932400011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198485410.30999997</v>
      </c>
      <c r="F55" s="20">
        <v>43148375.009000003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197447320.12000003</v>
      </c>
      <c r="F56" s="20">
        <v>11028913.471499994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176999475.94999999</v>
      </c>
      <c r="F57" s="20">
        <v>21393106.796000008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207477104.04000002</v>
      </c>
      <c r="F58" s="20">
        <v>23326073.899999999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159293553.06999999</v>
      </c>
      <c r="F59" s="20">
        <v>16373033.479899999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164364039.78999999</v>
      </c>
      <c r="F60" s="20">
        <v>18144017.319999985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167387222.14000002</v>
      </c>
      <c r="F61" s="20">
        <v>19037661.059999995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173602476.77000001</v>
      </c>
      <c r="F62" s="20">
        <v>18274964.850000009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193959947.07999998</v>
      </c>
      <c r="F63" s="20">
        <v>16795851.499999993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199232114.69000003</v>
      </c>
      <c r="F64" s="20">
        <v>25200002.429999992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9271204040.4800014</v>
      </c>
      <c r="F67" s="44">
        <f>SUM(F13:F66)</f>
        <v>1097491956.5608001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2" t="s">
        <v>9</v>
      </c>
      <c r="B70" s="52"/>
      <c r="C70" s="52"/>
      <c r="D70" s="52"/>
      <c r="E70" s="52"/>
      <c r="F70" s="52"/>
      <c r="G70" s="52"/>
      <c r="H70" s="52"/>
      <c r="I70" s="52"/>
      <c r="J70" s="5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2" t="s">
        <v>11</v>
      </c>
      <c r="B71" s="52"/>
      <c r="C71" s="52"/>
      <c r="D71" s="52"/>
      <c r="E71" s="52"/>
      <c r="F71" s="52"/>
      <c r="G71" s="52"/>
      <c r="H71" s="52"/>
      <c r="I71" s="52"/>
      <c r="J71" s="5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3" t="s">
        <v>10</v>
      </c>
      <c r="B72" s="53"/>
      <c r="C72" s="53"/>
      <c r="D72" s="53"/>
      <c r="E72" s="53"/>
      <c r="F72" s="53"/>
      <c r="G72" s="53"/>
      <c r="H72" s="53"/>
      <c r="I72" s="53"/>
      <c r="J72" s="5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50C0-2206-4AFA-A0DE-AC92D8C9D328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"/>
      <c r="U3" s="3"/>
      <c r="V3" s="3"/>
      <c r="W3" s="3"/>
      <c r="X3" s="3"/>
    </row>
    <row r="4" spans="1:24" s="2" customFormat="1" ht="18" x14ac:dyDescent="0.25">
      <c r="B4" s="40"/>
      <c r="C4" s="40"/>
      <c r="D4" s="40"/>
      <c r="E4" s="40"/>
      <c r="F4" s="40"/>
      <c r="G4" s="40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50" t="s">
        <v>15</v>
      </c>
      <c r="B6" s="50"/>
      <c r="C6" s="50"/>
      <c r="D6" s="50"/>
      <c r="E6" s="50"/>
      <c r="F6" s="50"/>
      <c r="G6" s="50"/>
      <c r="H6" s="50"/>
      <c r="I6" s="50"/>
      <c r="J6" s="50"/>
      <c r="K6" s="42"/>
      <c r="L6" s="42"/>
      <c r="M6" s="42"/>
      <c r="N6" s="42"/>
      <c r="O6" s="42"/>
      <c r="P6" s="42"/>
      <c r="Q6" s="42"/>
      <c r="R6" s="42"/>
      <c r="S6" s="42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51" t="s">
        <v>7</v>
      </c>
      <c r="C8" s="51"/>
      <c r="D8" s="51"/>
      <c r="E8" s="51"/>
      <c r="F8" s="51"/>
      <c r="G8" s="51"/>
    </row>
    <row r="9" spans="1:24" s="12" customFormat="1" ht="12.75" x14ac:dyDescent="0.2">
      <c r="B9" s="47"/>
      <c r="C9" s="47"/>
      <c r="D9" s="47"/>
      <c r="E9" s="47"/>
      <c r="F9" s="47"/>
      <c r="G9" s="47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45382</v>
      </c>
      <c r="B13" s="19"/>
      <c r="C13" s="20">
        <v>202796047.38999999</v>
      </c>
      <c r="F13" s="20">
        <v>21395358.569999993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194638833.75</v>
      </c>
      <c r="F14" s="20">
        <v>21837182.859999996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177653260.63000003</v>
      </c>
      <c r="F15" s="20">
        <v>16298286.099999998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170902486.14999998</v>
      </c>
      <c r="F16" s="20">
        <v>21196936.289999999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189716837.35000002</v>
      </c>
      <c r="F17" s="20">
        <v>21961129.319999997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168303125.16999999</v>
      </c>
      <c r="F18" s="20">
        <v>12640328.439999994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199051939.34999999</v>
      </c>
      <c r="F19" s="20">
        <v>26898581.200000003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180003171.25</v>
      </c>
      <c r="F20" s="20">
        <v>27201196.780000001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149268938.41</v>
      </c>
      <c r="F21" s="20">
        <v>15825377.110000003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139906806.44</v>
      </c>
      <c r="F22" s="20">
        <v>16833930.640000001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134126220.69</v>
      </c>
      <c r="F23" s="20">
        <v>17787641.970000006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137682149.16999999</v>
      </c>
      <c r="F24" s="20">
        <v>15219507.5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131101449.42</v>
      </c>
      <c r="F25" s="20">
        <v>19659166.510000005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126959251.63</v>
      </c>
      <c r="F26" s="20">
        <v>12763918.600000001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123721812.58</v>
      </c>
      <c r="F27" s="20">
        <v>14370561.099999992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116960756.09000002</v>
      </c>
      <c r="F28" s="20">
        <v>14811947.200000001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86809383.430000007</v>
      </c>
      <c r="F29" s="20">
        <v>11219035.15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103164983.87</v>
      </c>
      <c r="F30" s="20">
        <v>14589227.840000002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121652497.17</v>
      </c>
      <c r="F31" s="20">
        <v>8887409.8199999984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109904199.20999999</v>
      </c>
      <c r="F32" s="20">
        <v>11055286.84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107026230.45</v>
      </c>
      <c r="F33" s="20">
        <v>15153534.630000003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105903816.42</v>
      </c>
      <c r="F34" s="20">
        <v>11677101.279999996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142583417.31</v>
      </c>
      <c r="F35" s="20">
        <v>13450482.990000004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181587810.24000001</v>
      </c>
      <c r="F36" s="20">
        <v>14958455.080000002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183390946.19000003</v>
      </c>
      <c r="F37" s="20">
        <v>35147714.299999997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175548246.51000002</v>
      </c>
      <c r="F38" s="20">
        <v>19255036.81000001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198225538.88000003</v>
      </c>
      <c r="F39" s="20">
        <v>24189929.120000012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184111163.47</v>
      </c>
      <c r="F40" s="20">
        <v>19023512.990000002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183985343.30999997</v>
      </c>
      <c r="F41" s="20">
        <v>13942965.589999987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207868685.65000001</v>
      </c>
      <c r="F42" s="20">
        <v>5883194.200000003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240487519.45999998</v>
      </c>
      <c r="F43" s="20">
        <v>23910735.23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230944387.39999998</v>
      </c>
      <c r="F44" s="20">
        <v>26889558.329999998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215037435.58999997</v>
      </c>
      <c r="F45" s="20">
        <v>24377036.81000001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202543511.75</v>
      </c>
      <c r="F46" s="20">
        <v>22675522.079999994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198965339.12999997</v>
      </c>
      <c r="F47" s="20">
        <v>23129133.489999987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235494264.63999999</v>
      </c>
      <c r="F48" s="20">
        <v>14301540.52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213084634.93999997</v>
      </c>
      <c r="F49" s="20">
        <v>16740950.239999998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185310550.25000003</v>
      </c>
      <c r="F50" s="20">
        <v>20056632.699999996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205500116.31</v>
      </c>
      <c r="F51" s="20">
        <v>15674949.919999987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213543031.53</v>
      </c>
      <c r="F52" s="20">
        <v>30200781.429999996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240346237.97999996</v>
      </c>
      <c r="F53" s="20">
        <v>17169590.669999987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218010906.80000001</v>
      </c>
      <c r="F54" s="20">
        <v>29912012.699999996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231156889.51999998</v>
      </c>
      <c r="F55" s="20">
        <v>30050984.27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209361827.24000004</v>
      </c>
      <c r="F56" s="20">
        <v>13946709.549999993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197012520.21000001</v>
      </c>
      <c r="F57" s="20">
        <v>23883995.34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222239245.68000001</v>
      </c>
      <c r="F58" s="20">
        <v>33778347.00999999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159862464.38</v>
      </c>
      <c r="F59" s="20">
        <v>17057551.620000005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166462758.52000001</v>
      </c>
      <c r="F60" s="20">
        <v>19480681.680000003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177631771.30000001</v>
      </c>
      <c r="F61" s="20">
        <v>17246079.620000001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182484576.16000003</v>
      </c>
      <c r="F62" s="20">
        <v>15602430.490000011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189357621.34999999</v>
      </c>
      <c r="F63" s="20">
        <v>19277405.020000011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207080954.13000003</v>
      </c>
      <c r="F64" s="20">
        <v>15713140.359999994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9176473911.8499985</v>
      </c>
      <c r="F67" s="44">
        <f>SUM(F13:F66)</f>
        <v>986209705.90999985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2" t="s">
        <v>9</v>
      </c>
      <c r="B70" s="52"/>
      <c r="C70" s="52"/>
      <c r="D70" s="52"/>
      <c r="E70" s="52"/>
      <c r="F70" s="52"/>
      <c r="G70" s="52"/>
      <c r="H70" s="52"/>
      <c r="I70" s="52"/>
      <c r="J70" s="5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2" t="s">
        <v>11</v>
      </c>
      <c r="B71" s="52"/>
      <c r="C71" s="52"/>
      <c r="D71" s="52"/>
      <c r="E71" s="52"/>
      <c r="F71" s="52"/>
      <c r="G71" s="52"/>
      <c r="H71" s="52"/>
      <c r="I71" s="52"/>
      <c r="J71" s="5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3" t="s">
        <v>10</v>
      </c>
      <c r="B72" s="53"/>
      <c r="C72" s="53"/>
      <c r="D72" s="53"/>
      <c r="E72" s="53"/>
      <c r="F72" s="53"/>
      <c r="G72" s="53"/>
      <c r="H72" s="53"/>
      <c r="I72" s="53"/>
      <c r="J72" s="5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D244-3E9C-4C31-B4EF-20B0C5629D7C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"/>
      <c r="U3" s="3"/>
      <c r="V3" s="3"/>
      <c r="W3" s="3"/>
      <c r="X3" s="3"/>
    </row>
    <row r="4" spans="1:24" s="2" customFormat="1" ht="18" x14ac:dyDescent="0.25">
      <c r="B4" s="40"/>
      <c r="C4" s="40"/>
      <c r="D4" s="40"/>
      <c r="E4" s="40"/>
      <c r="F4" s="40"/>
      <c r="G4" s="40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50" t="s">
        <v>14</v>
      </c>
      <c r="B6" s="50"/>
      <c r="C6" s="50"/>
      <c r="D6" s="50"/>
      <c r="E6" s="50"/>
      <c r="F6" s="50"/>
      <c r="G6" s="50"/>
      <c r="H6" s="50"/>
      <c r="I6" s="50"/>
      <c r="J6" s="50"/>
      <c r="K6" s="42"/>
      <c r="L6" s="42"/>
      <c r="M6" s="42"/>
      <c r="N6" s="42"/>
      <c r="O6" s="42"/>
      <c r="P6" s="42"/>
      <c r="Q6" s="42"/>
      <c r="R6" s="42"/>
      <c r="S6" s="42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51" t="s">
        <v>7</v>
      </c>
      <c r="C8" s="51"/>
      <c r="D8" s="51"/>
      <c r="E8" s="51"/>
      <c r="F8" s="51"/>
      <c r="G8" s="51"/>
    </row>
    <row r="9" spans="1:24" s="12" customFormat="1" ht="12.75" x14ac:dyDescent="0.2">
      <c r="B9" s="46"/>
      <c r="C9" s="46"/>
      <c r="D9" s="46"/>
      <c r="E9" s="46"/>
      <c r="F9" s="46"/>
      <c r="G9" s="46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45018</v>
      </c>
      <c r="B13" s="19"/>
      <c r="C13" s="20">
        <v>130717989.68000001</v>
      </c>
      <c r="F13" s="20">
        <v>14705432.190000003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142555047.61000001</v>
      </c>
      <c r="F14" s="20">
        <v>6888869.8400000017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136293263.81</v>
      </c>
      <c r="F15" s="20">
        <v>22130965.780000001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150385975.01999998</v>
      </c>
      <c r="F16" s="20">
        <v>20737048.039999999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150773362.21000001</v>
      </c>
      <c r="F17" s="20">
        <v>18048461.829999998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137726028.77000001</v>
      </c>
      <c r="F18" s="20">
        <v>22291941.770000007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127689363.72999999</v>
      </c>
      <c r="F19" s="20">
        <v>21443765.430000007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123958470.51000001</v>
      </c>
      <c r="F20" s="20">
        <v>7377822.1799999997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45">
        <v>114257184.72999999</v>
      </c>
      <c r="D21" s="45"/>
      <c r="E21" s="45"/>
      <c r="F21" s="45">
        <v>19761502.789999999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121058159.03999999</v>
      </c>
      <c r="F22" s="20">
        <v>12103408.509999994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104812559.89999998</v>
      </c>
      <c r="F23" s="20">
        <v>12275120.629999999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102230517.02</v>
      </c>
      <c r="F24" s="20">
        <v>11788054.740000002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86807273.909999996</v>
      </c>
      <c r="F25" s="20">
        <v>8180147.0900000036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88096632.450000003</v>
      </c>
      <c r="F26" s="20">
        <v>11829532.43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94677863.680000007</v>
      </c>
      <c r="F27" s="20">
        <v>10700409.499999998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63993245.68</v>
      </c>
      <c r="F28" s="20">
        <v>7631999.2400000012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92606694.730000004</v>
      </c>
      <c r="F29" s="20">
        <v>11652207.74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95211825.190000013</v>
      </c>
      <c r="F30" s="20">
        <v>4895156.6799999978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99252423.299999997</v>
      </c>
      <c r="F31" s="20">
        <v>12233869.290000003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87431662.939999998</v>
      </c>
      <c r="F32" s="20">
        <v>10484781.639999999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87679654.299999997</v>
      </c>
      <c r="F33" s="20">
        <v>8908151.1699999981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83732551.230000004</v>
      </c>
      <c r="F34" s="20">
        <v>9868052.9299999997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122242389.31000002</v>
      </c>
      <c r="F35" s="20">
        <v>7289350.8199999984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195516142.56999999</v>
      </c>
      <c r="F36" s="20">
        <v>32331054.060000017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138978859.20000002</v>
      </c>
      <c r="F37" s="20">
        <v>10932231.45000001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160145889.88999999</v>
      </c>
      <c r="F38" s="20">
        <v>14787844.950000005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176812906.61000001</v>
      </c>
      <c r="F39" s="20">
        <v>15921095.269999988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160627537.77999997</v>
      </c>
      <c r="F40" s="20">
        <v>12077942.790000003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159940580.36000001</v>
      </c>
      <c r="F41" s="20">
        <v>29551594.900000006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198714912.90000004</v>
      </c>
      <c r="F42" s="20">
        <v>20512375.890000001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274702724.57999998</v>
      </c>
      <c r="F43" s="20">
        <v>13303137.829999994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215293001.24000001</v>
      </c>
      <c r="F44" s="20">
        <v>20054129.410000008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189913031.67000002</v>
      </c>
      <c r="F45" s="20">
        <v>21004401.129999999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262287815.31999999</v>
      </c>
      <c r="F46" s="20">
        <v>18375419.110000003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214764211.18999997</v>
      </c>
      <c r="F47" s="20">
        <v>11577606.669999979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194664677.65000001</v>
      </c>
      <c r="F48" s="20">
        <v>12297755.890000006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176893032.91999996</v>
      </c>
      <c r="F49" s="20">
        <v>27102678.45999999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183382886.36999997</v>
      </c>
      <c r="F50" s="20">
        <v>19906575.23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174667257.5</v>
      </c>
      <c r="F51" s="20">
        <v>22008284.519999988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196898612.08999997</v>
      </c>
      <c r="F52" s="20">
        <v>16669206.930000011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194756020.19999999</v>
      </c>
      <c r="F53" s="20">
        <v>19253219.669999998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199951004.16</v>
      </c>
      <c r="F54" s="20">
        <v>33383092.629999999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216135338.75999999</v>
      </c>
      <c r="F55" s="20">
        <v>25836352.529999997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190453693.38999999</v>
      </c>
      <c r="F56" s="20">
        <v>21376107.180000007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167360109.53999996</v>
      </c>
      <c r="F57" s="20">
        <v>21326721.360000007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203893271.50999999</v>
      </c>
      <c r="F58" s="20">
        <v>8167984.8199999891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161566516.11000001</v>
      </c>
      <c r="F59" s="20">
        <v>17214128.930000003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157381179.52000001</v>
      </c>
      <c r="F60" s="20">
        <v>21061838.950000003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183961993.99000001</v>
      </c>
      <c r="F61" s="20">
        <v>14794887.219999997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184786638.22</v>
      </c>
      <c r="F62" s="20">
        <v>16459028.959999999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178863633.47999999</v>
      </c>
      <c r="F63" s="20">
        <v>21297639.5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244835752.83000001</v>
      </c>
      <c r="F64" s="20">
        <v>13967653.879999993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8102339370.3000002</v>
      </c>
      <c r="F67" s="44">
        <f>SUM(F13:F66)</f>
        <v>845778042.38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2" t="s">
        <v>9</v>
      </c>
      <c r="B70" s="52"/>
      <c r="C70" s="52"/>
      <c r="D70" s="52"/>
      <c r="E70" s="52"/>
      <c r="F70" s="52"/>
      <c r="G70" s="52"/>
      <c r="H70" s="52"/>
      <c r="I70" s="52"/>
      <c r="J70" s="5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2" t="s">
        <v>11</v>
      </c>
      <c r="B71" s="52"/>
      <c r="C71" s="52"/>
      <c r="D71" s="52"/>
      <c r="E71" s="52"/>
      <c r="F71" s="52"/>
      <c r="G71" s="52"/>
      <c r="H71" s="52"/>
      <c r="I71" s="52"/>
      <c r="J71" s="5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3" t="s">
        <v>10</v>
      </c>
      <c r="B72" s="53"/>
      <c r="C72" s="53"/>
      <c r="D72" s="53"/>
      <c r="E72" s="53"/>
      <c r="F72" s="53"/>
      <c r="G72" s="53"/>
      <c r="H72" s="53"/>
      <c r="I72" s="53"/>
      <c r="J72" s="5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98EF-608B-4484-ACBA-D6A28AE8756C}">
  <sheetPr>
    <pageSetUpPr fitToPage="1"/>
  </sheetPr>
  <dimension ref="A1:X207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"/>
      <c r="U3" s="3"/>
      <c r="V3" s="3"/>
      <c r="W3" s="3"/>
      <c r="X3" s="3"/>
    </row>
    <row r="4" spans="1:24" s="2" customFormat="1" ht="18" x14ac:dyDescent="0.25">
      <c r="B4" s="40"/>
      <c r="C4" s="40"/>
      <c r="D4" s="40"/>
      <c r="E4" s="40"/>
      <c r="F4" s="40"/>
      <c r="G4" s="40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50" t="s">
        <v>13</v>
      </c>
      <c r="B6" s="50"/>
      <c r="C6" s="50"/>
      <c r="D6" s="50"/>
      <c r="E6" s="50"/>
      <c r="F6" s="50"/>
      <c r="G6" s="50"/>
      <c r="H6" s="50"/>
      <c r="I6" s="50"/>
      <c r="J6" s="50"/>
      <c r="K6" s="42"/>
      <c r="L6" s="42"/>
      <c r="M6" s="42"/>
      <c r="N6" s="42"/>
      <c r="O6" s="42"/>
      <c r="P6" s="42"/>
      <c r="Q6" s="42"/>
      <c r="R6" s="42"/>
      <c r="S6" s="42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51" t="s">
        <v>7</v>
      </c>
      <c r="C8" s="51"/>
      <c r="D8" s="51"/>
      <c r="E8" s="51"/>
      <c r="F8" s="51"/>
      <c r="G8" s="51"/>
    </row>
    <row r="9" spans="1:24" s="12" customFormat="1" ht="12.75" x14ac:dyDescent="0.2">
      <c r="B9" s="43"/>
      <c r="C9" s="43"/>
      <c r="D9" s="43"/>
      <c r="E9" s="43"/>
      <c r="F9" s="43"/>
      <c r="G9" s="4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44654</v>
      </c>
      <c r="B13" s="19"/>
      <c r="C13" s="20">
        <v>135723817.73000002</v>
      </c>
      <c r="F13" s="20">
        <v>3819999.1300000008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142036677.42000002</v>
      </c>
      <c r="F14" s="20">
        <v>7956294.8100000005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131793068.81999999</v>
      </c>
      <c r="F15" s="20">
        <v>22081850.089999992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145319117.36000001</v>
      </c>
      <c r="F16" s="20">
        <v>21188729.479999997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135643300.20999998</v>
      </c>
      <c r="F17" s="20">
        <v>9434226.4000000022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145144112.53999999</v>
      </c>
      <c r="F18" s="20">
        <v>19370029.18999999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120188666.06</v>
      </c>
      <c r="F19" s="20">
        <v>17647800.959999997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114113942.65000001</v>
      </c>
      <c r="F20" s="20">
        <v>14738270.550000006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45">
        <v>121629979.94</v>
      </c>
      <c r="D21" s="45"/>
      <c r="E21" s="45"/>
      <c r="F21" s="45">
        <v>8378828.5099999979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117247862.28</v>
      </c>
      <c r="F22" s="20">
        <v>6765992.1600000001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109067610.5</v>
      </c>
      <c r="F23" s="20">
        <v>8814678.8299999926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124900488.43000002</v>
      </c>
      <c r="F24" s="20">
        <v>12364944.050000003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101537195.14</v>
      </c>
      <c r="F25" s="20">
        <v>7845800.5500000045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93273267.179999992</v>
      </c>
      <c r="F26" s="20">
        <v>10563381.820000002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80221826.109999999</v>
      </c>
      <c r="F27" s="20">
        <v>13778040.199999999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76515687.609999999</v>
      </c>
      <c r="F28" s="20">
        <v>3351564.2399999984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67282969.569999993</v>
      </c>
      <c r="F29" s="20">
        <v>4480760.8499999996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79877586.239999995</v>
      </c>
      <c r="F30" s="20">
        <v>13018290.650000004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84143469.030000001</v>
      </c>
      <c r="F31" s="20">
        <v>9853197.4599999934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82615716.63000001</v>
      </c>
      <c r="F32" s="20">
        <v>10494947.109999998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85456333.049999997</v>
      </c>
      <c r="F33" s="20">
        <v>12043779.84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83722084.419999987</v>
      </c>
      <c r="F34" s="20">
        <v>8815077.8200000003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106812938.81999999</v>
      </c>
      <c r="F35" s="20">
        <v>13116112.770000001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128713121.59</v>
      </c>
      <c r="F36" s="20">
        <v>17152225.110000007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109242865.71000001</v>
      </c>
      <c r="F37" s="20">
        <v>17633488.690000005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122029798.33</v>
      </c>
      <c r="F38" s="20">
        <v>13318008.269999998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127854600.99000001</v>
      </c>
      <c r="F39" s="20">
        <v>10407552.679999992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123884382.8</v>
      </c>
      <c r="F40" s="20">
        <v>19501393.939999998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126603133.21000001</v>
      </c>
      <c r="F41" s="20">
        <v>20231311.539999999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145517906.69</v>
      </c>
      <c r="F42" s="20">
        <v>15213893.540000005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140652403.74000001</v>
      </c>
      <c r="F43" s="20">
        <v>17982660.489999998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142484157.32999998</v>
      </c>
      <c r="F44" s="20">
        <v>19938736.359999996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140138145.77000001</v>
      </c>
      <c r="F45" s="20">
        <v>17345959.530000001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144209843.41</v>
      </c>
      <c r="F46" s="20">
        <v>21961070.039999999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181216921.20000002</v>
      </c>
      <c r="F47" s="20">
        <v>17220944.400000002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151714670.31999999</v>
      </c>
      <c r="F48" s="20">
        <v>19035762.600000005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141063484.69</v>
      </c>
      <c r="F49" s="20">
        <v>20787305.220000006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143741375.99000001</v>
      </c>
      <c r="F50" s="20">
        <v>3994315.76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151416609.15000001</v>
      </c>
      <c r="F51" s="20">
        <v>19546514.720000003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160249037.05000001</v>
      </c>
      <c r="F52" s="20">
        <v>12412468.32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158423854.15000001</v>
      </c>
      <c r="F53" s="20">
        <v>15613883.940000014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171986295.50999999</v>
      </c>
      <c r="F54" s="20">
        <v>18643518.700000003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182396199.94000003</v>
      </c>
      <c r="F55" s="20">
        <v>26569171.220000003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146790117.75999999</v>
      </c>
      <c r="F56" s="20">
        <v>13485651.500000002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135952024.24000001</v>
      </c>
      <c r="F57" s="20">
        <v>20199470.479999997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165395489.51000002</v>
      </c>
      <c r="F58" s="20">
        <v>9206199.2199999951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137035272.89999998</v>
      </c>
      <c r="F59" s="20">
        <v>11318765.9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146476691.21999997</v>
      </c>
      <c r="F60" s="20">
        <v>11738180.710000001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169289508.44</v>
      </c>
      <c r="F61" s="20">
        <v>8817211.5699999966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185049831</v>
      </c>
      <c r="F62" s="20">
        <v>20864775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188336202</v>
      </c>
      <c r="F63" s="20">
        <v>19502132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155675749.77999997</v>
      </c>
      <c r="F64" s="20">
        <v>24452580.900000002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5" t="s">
        <v>1</v>
      </c>
      <c r="C66" s="23">
        <f>SUM(C13:C65)</f>
        <v>6807807412.1599989</v>
      </c>
      <c r="F66" s="44">
        <f>SUM(F13:F65)</f>
        <v>744017749.82000029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52" t="s">
        <v>9</v>
      </c>
      <c r="B69" s="52"/>
      <c r="C69" s="52"/>
      <c r="D69" s="52"/>
      <c r="E69" s="52"/>
      <c r="F69" s="52"/>
      <c r="G69" s="52"/>
      <c r="H69" s="52"/>
      <c r="I69" s="52"/>
      <c r="J69" s="52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52" t="s">
        <v>11</v>
      </c>
      <c r="B70" s="52"/>
      <c r="C70" s="52"/>
      <c r="D70" s="52"/>
      <c r="E70" s="52"/>
      <c r="F70" s="52"/>
      <c r="G70" s="52"/>
      <c r="H70" s="52"/>
      <c r="I70" s="52"/>
      <c r="J70" s="5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3" t="s">
        <v>10</v>
      </c>
      <c r="B71" s="53"/>
      <c r="C71" s="53"/>
      <c r="D71" s="53"/>
      <c r="E71" s="53"/>
      <c r="F71" s="53"/>
      <c r="G71" s="53"/>
      <c r="H71" s="53"/>
      <c r="I71" s="53"/>
      <c r="J71" s="53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s="24" customFormat="1" x14ac:dyDescent="0.25">
      <c r="B103" s="5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4" customFormat="1" x14ac:dyDescent="0.25">
      <c r="B104" s="5"/>
      <c r="C104" s="20"/>
      <c r="D104" s="20"/>
      <c r="E104" s="20"/>
      <c r="F104" s="20"/>
      <c r="G104" s="20"/>
      <c r="H104" s="26"/>
      <c r="I104" s="26"/>
      <c r="J104" s="27"/>
      <c r="K104" s="26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6"/>
      <c r="M106" s="26"/>
      <c r="N106" s="26"/>
      <c r="O106" s="26"/>
      <c r="P106" s="26"/>
      <c r="Q106" s="26"/>
      <c r="R106" s="26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5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AB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5" customWidth="1"/>
    <col min="2" max="2" width="15.140625" style="20" customWidth="1"/>
    <col min="3" max="3" width="6" style="20" customWidth="1"/>
    <col min="4" max="4" width="12.85546875" style="20" bestFit="1" customWidth="1"/>
    <col min="5" max="5" width="8.28515625" style="20" customWidth="1"/>
    <col min="6" max="6" width="8.140625" style="20" customWidth="1"/>
    <col min="7" max="7" width="2.5703125" style="20" customWidth="1"/>
    <col min="8" max="8" width="7.7109375" style="20" customWidth="1"/>
    <col min="9" max="9" width="12.85546875" style="20" customWidth="1"/>
    <col min="10" max="10" width="11.570312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1"/>
      <c r="U1" s="1"/>
      <c r="V1" s="1"/>
      <c r="W1" s="1"/>
      <c r="X1" s="1"/>
    </row>
    <row r="2" spans="1:28" s="2" customFormat="1" ht="18" x14ac:dyDescent="0.25">
      <c r="A2" s="36"/>
      <c r="B2" s="36"/>
      <c r="C2" s="36"/>
      <c r="D2" s="36"/>
      <c r="E2" s="36"/>
      <c r="F2" s="36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1"/>
      <c r="U2" s="1"/>
      <c r="V2" s="1"/>
      <c r="W2" s="1"/>
      <c r="X2" s="1"/>
    </row>
    <row r="3" spans="1:28" s="2" customFormat="1" ht="14.25" customHeight="1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"/>
      <c r="U3" s="3"/>
      <c r="V3" s="3"/>
      <c r="W3" s="3"/>
      <c r="X3" s="3"/>
    </row>
    <row r="4" spans="1:28" s="2" customFormat="1" ht="15.75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4"/>
      <c r="U4" s="4"/>
      <c r="V4" s="4"/>
      <c r="W4" s="4"/>
      <c r="X4" s="4"/>
    </row>
    <row r="5" spans="1:28" s="2" customFormat="1" x14ac:dyDescent="0.25">
      <c r="A5" s="5"/>
      <c r="B5" s="6"/>
      <c r="C5" s="6"/>
      <c r="D5" s="7"/>
      <c r="E5" s="7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8" s="9" customFormat="1" ht="15" customHeight="1" x14ac:dyDescent="0.25">
      <c r="A6" s="55" t="s">
        <v>8</v>
      </c>
      <c r="B6" s="56"/>
      <c r="C6" s="56"/>
      <c r="D6" s="56"/>
      <c r="E6" s="57"/>
      <c r="F6" s="30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8"/>
      <c r="U6" s="28"/>
    </row>
    <row r="7" spans="1:28" s="2" customFormat="1" ht="9" customHeight="1" x14ac:dyDescent="0.25">
      <c r="A7" s="5"/>
      <c r="B7" s="6"/>
      <c r="C7" s="6"/>
      <c r="D7" s="7"/>
      <c r="E7" s="7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8" s="12" customFormat="1" ht="25.5" customHeight="1" x14ac:dyDescent="0.2">
      <c r="A8" s="54" t="s">
        <v>7</v>
      </c>
      <c r="B8" s="54"/>
      <c r="C8" s="54"/>
      <c r="D8" s="54"/>
      <c r="E8" s="54"/>
      <c r="F8" s="54"/>
    </row>
    <row r="9" spans="1:28" s="12" customFormat="1" ht="8.25" customHeight="1" x14ac:dyDescent="0.2">
      <c r="A9" s="39"/>
      <c r="B9" s="39"/>
      <c r="C9" s="39"/>
      <c r="D9" s="39"/>
      <c r="E9" s="39"/>
      <c r="F9" s="39"/>
    </row>
    <row r="10" spans="1:28" s="12" customFormat="1" ht="12.75" x14ac:dyDescent="0.2">
      <c r="A10" s="10"/>
      <c r="B10" s="14" t="s">
        <v>6</v>
      </c>
      <c r="C10" s="14"/>
      <c r="D10" s="14" t="s">
        <v>6</v>
      </c>
      <c r="E10" s="14"/>
      <c r="F10" s="11"/>
      <c r="G10" s="11"/>
    </row>
    <row r="11" spans="1:28" s="16" customFormat="1" ht="12.75" customHeight="1" x14ac:dyDescent="0.2">
      <c r="A11" s="15"/>
      <c r="B11" s="13" t="s">
        <v>0</v>
      </c>
      <c r="C11" s="13"/>
      <c r="D11" s="13" t="s">
        <v>0</v>
      </c>
      <c r="E11" s="13"/>
      <c r="F11" s="33"/>
      <c r="G11" s="33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6" customFormat="1" ht="12.75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33"/>
      <c r="G12" s="33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19">
        <v>44570</v>
      </c>
      <c r="B13" s="20">
        <v>63236093.299999997</v>
      </c>
      <c r="D13" s="22">
        <v>-2725965.1</v>
      </c>
      <c r="E13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 spans="1:28" x14ac:dyDescent="0.25">
      <c r="A14" s="19">
        <f t="shared" ref="A14:A24" si="0">A13+7</f>
        <v>44577</v>
      </c>
      <c r="B14" s="20">
        <v>137115792.28999999</v>
      </c>
      <c r="D14" s="22">
        <v>16866763.890000001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8" x14ac:dyDescent="0.25">
      <c r="A15" s="19">
        <f t="shared" si="0"/>
        <v>44584</v>
      </c>
      <c r="B15" s="20">
        <v>159653475.81</v>
      </c>
      <c r="D15" s="22">
        <v>10038211.92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19">
        <f t="shared" si="0"/>
        <v>44591</v>
      </c>
      <c r="B16" s="20">
        <v>141786622.33000001</v>
      </c>
      <c r="D16" s="22">
        <v>-564868.47000000812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44598</v>
      </c>
      <c r="B17" s="20">
        <v>130256762.83</v>
      </c>
      <c r="D17" s="22">
        <v>6632390.5999999996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44605</v>
      </c>
      <c r="B18" s="20">
        <v>175437706.06999999</v>
      </c>
      <c r="D18" s="22">
        <v>-2726650.4100000057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44612</v>
      </c>
      <c r="B19" s="20">
        <v>130615126.74000001</v>
      </c>
      <c r="D19" s="22">
        <v>12298065.27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44619</v>
      </c>
      <c r="B20" s="20">
        <v>131988617.39999999</v>
      </c>
      <c r="D20" s="22">
        <v>10438399.420000002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44626</v>
      </c>
      <c r="B21" s="20">
        <v>145617445.52000001</v>
      </c>
      <c r="D21" s="22">
        <v>18013929.030000001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44633</v>
      </c>
      <c r="B22" s="20">
        <v>173049082.57000002</v>
      </c>
      <c r="D22" s="22">
        <v>17546356.140000001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44640</v>
      </c>
      <c r="B23" s="20">
        <v>167953379.16</v>
      </c>
      <c r="D23" s="22">
        <v>14665422.319999998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44647</v>
      </c>
      <c r="B24" s="20">
        <v>133100094.97000001</v>
      </c>
      <c r="D24" s="22">
        <v>9530286.8399999943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5" t="s">
        <v>1</v>
      </c>
      <c r="B25" s="23">
        <f>SUM(B13:B24)</f>
        <v>1689810198.9900002</v>
      </c>
      <c r="C25" s="31"/>
      <c r="D25" s="38">
        <f>SUM(D13:D24)</f>
        <v>110012341.44999997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58" t="s">
        <v>9</v>
      </c>
      <c r="B28" s="58"/>
      <c r="C28" s="58"/>
      <c r="D28" s="58"/>
      <c r="E28" s="5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58" t="s">
        <v>11</v>
      </c>
      <c r="B29" s="58"/>
      <c r="C29" s="58"/>
      <c r="D29" s="58"/>
      <c r="E29" s="58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60" t="s">
        <v>12</v>
      </c>
      <c r="B30" s="60"/>
      <c r="C30" s="60"/>
      <c r="D30" s="60"/>
      <c r="E30" s="6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29.25" customHeight="1" x14ac:dyDescent="0.25">
      <c r="A31" s="59" t="s">
        <v>10</v>
      </c>
      <c r="B31" s="59"/>
      <c r="C31" s="59"/>
      <c r="D31" s="59"/>
      <c r="E31" s="59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ht="29.25" customHeight="1" x14ac:dyDescent="0.25">
      <c r="E32" s="21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1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1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1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1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1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1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1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1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1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1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1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1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1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1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 s="24"/>
      <c r="H62" s="21"/>
      <c r="L62"/>
      <c r="M62"/>
      <c r="N62"/>
      <c r="O62"/>
      <c r="P62"/>
      <c r="Q62"/>
      <c r="R62"/>
      <c r="S62"/>
    </row>
    <row r="63" spans="1:19" x14ac:dyDescent="0.25">
      <c r="G63" s="24"/>
      <c r="H63" s="21"/>
      <c r="L63"/>
      <c r="M63"/>
      <c r="N63"/>
      <c r="O63"/>
      <c r="P63"/>
      <c r="Q63"/>
      <c r="R63"/>
      <c r="S63"/>
    </row>
    <row r="64" spans="1:19" s="24" customFormat="1" x14ac:dyDescent="0.25">
      <c r="A64" s="5"/>
      <c r="B64" s="20"/>
      <c r="C64" s="20"/>
      <c r="D64" s="20"/>
      <c r="E64" s="20"/>
      <c r="F64" s="20"/>
      <c r="G64" s="20"/>
      <c r="H64" s="20"/>
      <c r="I64" s="21"/>
      <c r="J64" s="20"/>
      <c r="K64" s="20"/>
      <c r="M64" s="21"/>
      <c r="N64" s="20"/>
      <c r="O64" s="20"/>
      <c r="P64" s="20"/>
      <c r="Q64" s="20"/>
      <c r="R64" s="20"/>
      <c r="S64" s="20"/>
    </row>
    <row r="65" spans="1:24" s="24" customFormat="1" x14ac:dyDescent="0.25">
      <c r="A65" s="5"/>
      <c r="B65" s="20"/>
      <c r="C65" s="20"/>
      <c r="D65" s="20"/>
      <c r="E65" s="20"/>
      <c r="F65" s="20"/>
      <c r="G65" s="26"/>
      <c r="H65" s="26"/>
      <c r="I65" s="27"/>
      <c r="J65" s="26"/>
      <c r="K65" s="26"/>
      <c r="M65" s="21"/>
      <c r="N65" s="20"/>
      <c r="O65" s="20"/>
      <c r="P65" s="20"/>
      <c r="Q65" s="20"/>
      <c r="R65" s="20"/>
      <c r="S65" s="20"/>
    </row>
    <row r="66" spans="1:24" x14ac:dyDescent="0.25">
      <c r="H66" s="21"/>
      <c r="L66" s="20"/>
      <c r="M66" s="20"/>
      <c r="T66" s="20"/>
      <c r="U66" s="20"/>
    </row>
    <row r="67" spans="1:24" x14ac:dyDescent="0.25">
      <c r="H67" s="21"/>
      <c r="L67" s="26"/>
      <c r="M67" s="26"/>
      <c r="N67" s="26"/>
      <c r="O67" s="26"/>
      <c r="P67" s="26"/>
      <c r="Q67" s="26"/>
      <c r="R67" s="26"/>
      <c r="T67" s="20"/>
      <c r="U67" s="20"/>
    </row>
    <row r="68" spans="1:24" x14ac:dyDescent="0.25">
      <c r="H68" s="21"/>
    </row>
    <row r="69" spans="1:24" x14ac:dyDescent="0.25">
      <c r="H69" s="21"/>
    </row>
    <row r="70" spans="1:24" x14ac:dyDescent="0.25">
      <c r="H70" s="21"/>
    </row>
    <row r="71" spans="1:24" x14ac:dyDescent="0.25">
      <c r="H71" s="21"/>
    </row>
    <row r="72" spans="1:24" x14ac:dyDescent="0.25">
      <c r="H72" s="21"/>
    </row>
    <row r="73" spans="1:24" x14ac:dyDescent="0.25">
      <c r="H73" s="21"/>
    </row>
    <row r="74" spans="1:24" x14ac:dyDescent="0.25">
      <c r="H74" s="21"/>
    </row>
    <row r="75" spans="1:24" x14ac:dyDescent="0.25">
      <c r="H75" s="21"/>
    </row>
    <row r="76" spans="1:24" x14ac:dyDescent="0.25">
      <c r="H76" s="21"/>
    </row>
    <row r="77" spans="1:24" x14ac:dyDescent="0.25">
      <c r="H77" s="21"/>
    </row>
    <row r="78" spans="1:24" s="20" customFormat="1" x14ac:dyDescent="0.25">
      <c r="A78" s="5"/>
      <c r="H78" s="21"/>
      <c r="L78" s="21"/>
      <c r="M78" s="21"/>
      <c r="T78"/>
      <c r="U78"/>
      <c r="V78"/>
      <c r="W78"/>
      <c r="X78"/>
    </row>
    <row r="79" spans="1:24" s="20" customFormat="1" x14ac:dyDescent="0.25">
      <c r="A79" s="5"/>
      <c r="H79" s="21"/>
      <c r="L79" s="21"/>
      <c r="M79" s="21"/>
      <c r="T79"/>
      <c r="U79"/>
      <c r="V79"/>
      <c r="W79"/>
      <c r="X79"/>
    </row>
    <row r="80" spans="1:24" s="20" customFormat="1" x14ac:dyDescent="0.25">
      <c r="A80" s="5"/>
      <c r="H80" s="21"/>
      <c r="L80" s="21"/>
      <c r="M80" s="21"/>
      <c r="T80"/>
      <c r="U80"/>
      <c r="V80"/>
      <c r="W80"/>
      <c r="X80"/>
    </row>
    <row r="81" spans="1:24" s="20" customFormat="1" x14ac:dyDescent="0.25">
      <c r="A81" s="5"/>
      <c r="H81" s="21"/>
      <c r="L81" s="21"/>
      <c r="M81" s="21"/>
      <c r="T81"/>
      <c r="U81"/>
      <c r="V81"/>
      <c r="W81"/>
      <c r="X81"/>
    </row>
    <row r="82" spans="1:24" s="20" customFormat="1" x14ac:dyDescent="0.25">
      <c r="A82" s="5"/>
      <c r="H82" s="21"/>
      <c r="L82" s="21"/>
      <c r="M82" s="21"/>
      <c r="T82"/>
      <c r="U82"/>
      <c r="V82"/>
      <c r="W82"/>
      <c r="X82"/>
    </row>
    <row r="83" spans="1:24" s="20" customFormat="1" x14ac:dyDescent="0.25">
      <c r="A83" s="5"/>
      <c r="H83" s="21"/>
      <c r="L83" s="21"/>
      <c r="M83" s="21"/>
      <c r="T83"/>
      <c r="U83"/>
      <c r="V83"/>
      <c r="W83"/>
      <c r="X83"/>
    </row>
    <row r="84" spans="1:24" s="20" customFormat="1" x14ac:dyDescent="0.25">
      <c r="A84" s="5"/>
      <c r="H84" s="21"/>
      <c r="L84" s="21"/>
      <c r="M84" s="21"/>
      <c r="T84"/>
      <c r="U84"/>
      <c r="V84"/>
      <c r="W84"/>
      <c r="X84"/>
    </row>
    <row r="85" spans="1:24" s="20" customFormat="1" x14ac:dyDescent="0.25">
      <c r="A85" s="5"/>
      <c r="H85" s="21"/>
      <c r="L85" s="21"/>
      <c r="M85" s="21"/>
      <c r="T85"/>
      <c r="U85"/>
      <c r="V85"/>
      <c r="W85"/>
      <c r="X85"/>
    </row>
    <row r="86" spans="1:24" s="20" customFormat="1" x14ac:dyDescent="0.25">
      <c r="A86" s="5"/>
      <c r="H86" s="21"/>
      <c r="L86" s="21"/>
      <c r="M86" s="21"/>
      <c r="T86"/>
      <c r="U86"/>
      <c r="V86"/>
      <c r="W86"/>
      <c r="X86"/>
    </row>
    <row r="87" spans="1:24" s="20" customFormat="1" x14ac:dyDescent="0.25">
      <c r="A87" s="5"/>
      <c r="H87" s="21"/>
      <c r="L87" s="21"/>
      <c r="M87" s="21"/>
      <c r="T87"/>
      <c r="U87"/>
      <c r="V87"/>
      <c r="W87"/>
      <c r="X87"/>
    </row>
    <row r="88" spans="1:24" s="20" customFormat="1" x14ac:dyDescent="0.25">
      <c r="A88" s="5"/>
      <c r="H88" s="21"/>
      <c r="L88" s="21"/>
      <c r="M88" s="21"/>
      <c r="T88"/>
      <c r="U88"/>
      <c r="V88"/>
      <c r="W88"/>
      <c r="X88"/>
    </row>
    <row r="89" spans="1:24" s="20" customFormat="1" x14ac:dyDescent="0.25">
      <c r="A89" s="5"/>
      <c r="H89" s="21"/>
      <c r="L89" s="21"/>
      <c r="M89" s="21"/>
      <c r="T89"/>
      <c r="U89"/>
      <c r="V89"/>
      <c r="W89"/>
      <c r="X89"/>
    </row>
    <row r="90" spans="1:24" s="20" customFormat="1" x14ac:dyDescent="0.25">
      <c r="A90" s="5"/>
      <c r="H90" s="21"/>
      <c r="L90" s="21"/>
      <c r="M90" s="21"/>
      <c r="T90"/>
      <c r="U90"/>
      <c r="V90"/>
      <c r="W90"/>
      <c r="X90"/>
    </row>
    <row r="91" spans="1:24" s="20" customFormat="1" x14ac:dyDescent="0.25">
      <c r="A91" s="5"/>
      <c r="H91" s="21"/>
      <c r="L91" s="21"/>
      <c r="M91" s="21"/>
      <c r="T91"/>
      <c r="U91"/>
      <c r="V91"/>
      <c r="W91"/>
      <c r="X91"/>
    </row>
    <row r="92" spans="1:24" s="20" customFormat="1" x14ac:dyDescent="0.25">
      <c r="A92" s="5"/>
      <c r="H92" s="21"/>
      <c r="L92" s="21"/>
      <c r="M92" s="21"/>
      <c r="T92"/>
      <c r="U92"/>
      <c r="V92"/>
      <c r="W92"/>
      <c r="X92"/>
    </row>
    <row r="93" spans="1:24" s="20" customFormat="1" x14ac:dyDescent="0.25">
      <c r="A93" s="5"/>
      <c r="H93" s="21"/>
      <c r="L93" s="21"/>
      <c r="M93" s="21"/>
      <c r="T93"/>
      <c r="U93"/>
      <c r="V93"/>
      <c r="W93"/>
      <c r="X93"/>
    </row>
    <row r="94" spans="1:24" s="20" customFormat="1" x14ac:dyDescent="0.25">
      <c r="A94" s="5"/>
      <c r="H94" s="21"/>
      <c r="L94" s="21"/>
      <c r="M94" s="21"/>
      <c r="T94"/>
      <c r="U94"/>
      <c r="V94"/>
      <c r="W94"/>
      <c r="X94"/>
    </row>
    <row r="95" spans="1:24" s="20" customFormat="1" x14ac:dyDescent="0.25">
      <c r="A95" s="5"/>
      <c r="H95" s="21"/>
      <c r="L95" s="21"/>
      <c r="M95" s="21"/>
      <c r="T95"/>
      <c r="U95"/>
      <c r="V95"/>
      <c r="W95"/>
      <c r="X95"/>
    </row>
    <row r="96" spans="1:24" s="20" customFormat="1" x14ac:dyDescent="0.25">
      <c r="A96" s="5"/>
      <c r="H96" s="21"/>
      <c r="L96" s="21"/>
      <c r="M96" s="21"/>
      <c r="T96"/>
      <c r="U96"/>
      <c r="V96"/>
      <c r="W96"/>
      <c r="X96"/>
    </row>
    <row r="97" spans="1:24" s="20" customFormat="1" x14ac:dyDescent="0.25">
      <c r="A97" s="5"/>
      <c r="H97" s="21"/>
      <c r="L97" s="21"/>
      <c r="M97" s="21"/>
      <c r="T97"/>
      <c r="U97"/>
      <c r="V97"/>
      <c r="W97"/>
      <c r="X97"/>
    </row>
    <row r="98" spans="1:24" s="20" customFormat="1" x14ac:dyDescent="0.25">
      <c r="A98" s="5"/>
      <c r="H98" s="21"/>
      <c r="L98" s="21"/>
      <c r="M98" s="21"/>
      <c r="T98"/>
      <c r="U98"/>
      <c r="V98"/>
      <c r="W98"/>
      <c r="X98"/>
    </row>
    <row r="99" spans="1:24" s="20" customFormat="1" x14ac:dyDescent="0.25">
      <c r="A99" s="5"/>
      <c r="H99" s="21"/>
      <c r="L99" s="21"/>
      <c r="M99" s="21"/>
      <c r="T99"/>
      <c r="U99"/>
      <c r="V99"/>
      <c r="W99"/>
      <c r="X99"/>
    </row>
    <row r="100" spans="1:24" s="20" customFormat="1" x14ac:dyDescent="0.25">
      <c r="A100" s="5"/>
      <c r="H100" s="21"/>
      <c r="L100" s="21"/>
      <c r="M100" s="21"/>
      <c r="T100"/>
      <c r="U100"/>
      <c r="V100"/>
      <c r="W100"/>
      <c r="X100"/>
    </row>
    <row r="101" spans="1:24" s="20" customFormat="1" x14ac:dyDescent="0.25">
      <c r="A101" s="5"/>
      <c r="H101" s="21"/>
      <c r="L101" s="21"/>
      <c r="M101" s="21"/>
      <c r="T101"/>
      <c r="U101"/>
      <c r="V101"/>
      <c r="W101"/>
      <c r="X101"/>
    </row>
    <row r="102" spans="1:24" s="20" customFormat="1" x14ac:dyDescent="0.25">
      <c r="A102" s="5"/>
      <c r="H102" s="21"/>
      <c r="L102" s="21"/>
      <c r="M102" s="21"/>
      <c r="T102"/>
      <c r="U102"/>
      <c r="V102"/>
      <c r="W102"/>
      <c r="X102"/>
    </row>
    <row r="103" spans="1:24" s="20" customFormat="1" x14ac:dyDescent="0.25">
      <c r="A103" s="5"/>
      <c r="H103" s="21"/>
      <c r="L103" s="21"/>
      <c r="M103" s="21"/>
      <c r="T103"/>
      <c r="U103"/>
      <c r="V103"/>
      <c r="W103"/>
      <c r="X103"/>
    </row>
    <row r="104" spans="1:24" s="20" customFormat="1" x14ac:dyDescent="0.25">
      <c r="A104" s="5"/>
      <c r="H104" s="21"/>
      <c r="L104" s="21"/>
      <c r="M104" s="21"/>
      <c r="T104"/>
      <c r="U104"/>
      <c r="V104"/>
      <c r="W104"/>
      <c r="X104"/>
    </row>
    <row r="105" spans="1:24" s="20" customFormat="1" x14ac:dyDescent="0.25">
      <c r="A105" s="5"/>
      <c r="H105" s="21"/>
      <c r="L105" s="21"/>
      <c r="M105" s="21"/>
      <c r="T105"/>
      <c r="U105"/>
      <c r="V105"/>
      <c r="W105"/>
      <c r="X105"/>
    </row>
    <row r="106" spans="1:24" s="20" customFormat="1" x14ac:dyDescent="0.25">
      <c r="A106" s="5"/>
      <c r="H106" s="21"/>
      <c r="L106" s="21"/>
      <c r="M106" s="21"/>
      <c r="T106"/>
      <c r="U106"/>
      <c r="V106"/>
      <c r="W106"/>
      <c r="X106"/>
    </row>
    <row r="107" spans="1:24" s="20" customFormat="1" x14ac:dyDescent="0.25">
      <c r="A107" s="5"/>
      <c r="H107" s="21"/>
      <c r="L107" s="21"/>
      <c r="M107" s="21"/>
      <c r="T107"/>
      <c r="U107"/>
      <c r="V107"/>
      <c r="W107"/>
      <c r="X107"/>
    </row>
    <row r="108" spans="1:24" s="20" customFormat="1" x14ac:dyDescent="0.25">
      <c r="A108" s="5"/>
      <c r="H108" s="21"/>
      <c r="L108" s="21"/>
      <c r="M108" s="21"/>
      <c r="T108"/>
      <c r="U108"/>
      <c r="V108"/>
      <c r="W108"/>
      <c r="X108"/>
    </row>
    <row r="109" spans="1:24" s="20" customFormat="1" x14ac:dyDescent="0.25">
      <c r="A109" s="5"/>
      <c r="H109" s="21"/>
      <c r="L109" s="21"/>
      <c r="M109" s="21"/>
      <c r="T109"/>
      <c r="U109"/>
      <c r="V109"/>
      <c r="W109"/>
      <c r="X109"/>
    </row>
    <row r="110" spans="1:24" s="20" customFormat="1" x14ac:dyDescent="0.25">
      <c r="A110" s="5"/>
      <c r="H110" s="21"/>
      <c r="L110" s="21"/>
      <c r="M110" s="21"/>
      <c r="T110"/>
      <c r="U110"/>
      <c r="V110"/>
      <c r="W110"/>
      <c r="X110"/>
    </row>
    <row r="111" spans="1:24" s="20" customFormat="1" x14ac:dyDescent="0.25">
      <c r="A111" s="5"/>
      <c r="H111" s="21"/>
      <c r="L111" s="21"/>
      <c r="M111" s="21"/>
      <c r="T111"/>
      <c r="U111"/>
      <c r="V111"/>
      <c r="W111"/>
      <c r="X111"/>
    </row>
    <row r="112" spans="1:24" s="20" customFormat="1" x14ac:dyDescent="0.25">
      <c r="A112" s="5"/>
      <c r="H112" s="21"/>
      <c r="L112" s="21"/>
      <c r="M112" s="21"/>
      <c r="T112"/>
      <c r="U112"/>
      <c r="V112"/>
      <c r="W112"/>
      <c r="X112"/>
    </row>
    <row r="113" spans="1:24" s="20" customFormat="1" x14ac:dyDescent="0.25">
      <c r="A113" s="5"/>
      <c r="H113" s="21"/>
      <c r="L113" s="21"/>
      <c r="M113" s="21"/>
      <c r="T113"/>
      <c r="U113"/>
      <c r="V113"/>
      <c r="W113"/>
      <c r="X113"/>
    </row>
    <row r="114" spans="1:24" s="20" customFormat="1" x14ac:dyDescent="0.25">
      <c r="A114" s="5"/>
      <c r="H114" s="21"/>
      <c r="L114" s="21"/>
      <c r="M114" s="21"/>
      <c r="T114"/>
      <c r="U114"/>
      <c r="V114"/>
      <c r="W114"/>
      <c r="X114"/>
    </row>
    <row r="115" spans="1:24" s="20" customFormat="1" x14ac:dyDescent="0.25">
      <c r="A115" s="5"/>
      <c r="H115" s="21"/>
      <c r="L115" s="21"/>
      <c r="M115" s="21"/>
      <c r="T115"/>
      <c r="U115"/>
      <c r="V115"/>
      <c r="W115"/>
      <c r="X115"/>
    </row>
    <row r="116" spans="1:24" s="20" customFormat="1" x14ac:dyDescent="0.25">
      <c r="A116" s="5"/>
      <c r="H116" s="21"/>
      <c r="L116" s="21"/>
      <c r="M116" s="21"/>
      <c r="T116"/>
      <c r="U116"/>
      <c r="V116"/>
      <c r="W116"/>
      <c r="X116"/>
    </row>
    <row r="117" spans="1:24" s="20" customFormat="1" x14ac:dyDescent="0.25">
      <c r="A117" s="5"/>
      <c r="H117" s="21"/>
      <c r="L117" s="21"/>
      <c r="M117" s="21"/>
      <c r="T117"/>
      <c r="U117"/>
      <c r="V117"/>
      <c r="W117"/>
      <c r="X117"/>
    </row>
    <row r="118" spans="1:24" s="20" customFormat="1" x14ac:dyDescent="0.25">
      <c r="A118" s="5"/>
      <c r="H118" s="21"/>
      <c r="L118" s="21"/>
      <c r="M118" s="21"/>
      <c r="T118"/>
      <c r="U118"/>
      <c r="V118"/>
      <c r="W118"/>
      <c r="X118"/>
    </row>
    <row r="119" spans="1:24" s="20" customFormat="1" x14ac:dyDescent="0.25">
      <c r="A119" s="5"/>
      <c r="H119" s="21"/>
      <c r="L119" s="21"/>
      <c r="M119" s="21"/>
      <c r="T119"/>
      <c r="U119"/>
      <c r="V119"/>
      <c r="W119"/>
      <c r="X119"/>
    </row>
    <row r="120" spans="1:24" s="20" customFormat="1" x14ac:dyDescent="0.25">
      <c r="A120" s="5"/>
      <c r="H120" s="21"/>
      <c r="L120" s="21"/>
      <c r="M120" s="21"/>
      <c r="T120"/>
      <c r="U120"/>
      <c r="V120"/>
      <c r="W120"/>
      <c r="X120"/>
    </row>
    <row r="121" spans="1:24" s="20" customFormat="1" x14ac:dyDescent="0.25">
      <c r="A121" s="5"/>
      <c r="H121" s="21"/>
      <c r="L121" s="21"/>
      <c r="M121" s="21"/>
      <c r="T121"/>
      <c r="U121"/>
      <c r="V121"/>
      <c r="W121"/>
      <c r="X121"/>
    </row>
    <row r="122" spans="1:24" s="20" customFormat="1" x14ac:dyDescent="0.25">
      <c r="A122" s="5"/>
      <c r="H122" s="21"/>
      <c r="L122" s="21"/>
      <c r="M122" s="21"/>
      <c r="T122"/>
      <c r="U122"/>
      <c r="V122"/>
      <c r="W122"/>
      <c r="X122"/>
    </row>
    <row r="123" spans="1:24" s="20" customFormat="1" x14ac:dyDescent="0.25">
      <c r="A123" s="5"/>
      <c r="H123" s="21"/>
      <c r="L123" s="21"/>
      <c r="M123" s="21"/>
      <c r="T123"/>
      <c r="U123"/>
      <c r="V123"/>
      <c r="W123"/>
      <c r="X123"/>
    </row>
    <row r="124" spans="1:24" s="20" customFormat="1" x14ac:dyDescent="0.25">
      <c r="A124" s="5"/>
      <c r="H124" s="21"/>
      <c r="L124" s="21"/>
      <c r="M124" s="21"/>
      <c r="T124"/>
      <c r="U124"/>
      <c r="V124"/>
      <c r="W124"/>
      <c r="X124"/>
    </row>
    <row r="125" spans="1:24" s="20" customFormat="1" x14ac:dyDescent="0.25">
      <c r="A125" s="5"/>
      <c r="H125" s="21"/>
      <c r="L125" s="21"/>
      <c r="M125" s="21"/>
      <c r="T125"/>
      <c r="U125"/>
      <c r="V125"/>
      <c r="W125"/>
      <c r="X125"/>
    </row>
    <row r="126" spans="1:24" s="20" customFormat="1" x14ac:dyDescent="0.25">
      <c r="A126" s="5"/>
      <c r="H126" s="21"/>
      <c r="L126" s="21"/>
      <c r="M126" s="21"/>
      <c r="T126"/>
      <c r="U126"/>
      <c r="V126"/>
      <c r="W126"/>
      <c r="X126"/>
    </row>
    <row r="127" spans="1:24" s="20" customFormat="1" x14ac:dyDescent="0.25">
      <c r="A127" s="5"/>
      <c r="H127" s="21"/>
      <c r="L127" s="21"/>
      <c r="M127" s="21"/>
      <c r="T127"/>
      <c r="U127"/>
      <c r="V127"/>
      <c r="W127"/>
      <c r="X127"/>
    </row>
    <row r="128" spans="1:24" s="20" customFormat="1" x14ac:dyDescent="0.25">
      <c r="A128" s="5"/>
      <c r="H128" s="21"/>
      <c r="L128" s="21"/>
      <c r="M128" s="21"/>
      <c r="T128"/>
      <c r="U128"/>
      <c r="V128"/>
      <c r="W128"/>
      <c r="X128"/>
    </row>
    <row r="129" spans="1:24" s="20" customFormat="1" x14ac:dyDescent="0.25">
      <c r="A129" s="5"/>
      <c r="H129" s="21"/>
      <c r="L129" s="21"/>
      <c r="M129" s="21"/>
      <c r="T129"/>
      <c r="U129"/>
      <c r="V129"/>
      <c r="W129"/>
      <c r="X129"/>
    </row>
    <row r="130" spans="1:24" s="20" customFormat="1" x14ac:dyDescent="0.25">
      <c r="A130" s="5"/>
      <c r="H130" s="21"/>
      <c r="L130" s="21"/>
      <c r="M130" s="21"/>
      <c r="T130"/>
      <c r="U130"/>
      <c r="V130"/>
      <c r="W130"/>
      <c r="X130"/>
    </row>
    <row r="131" spans="1:24" s="20" customFormat="1" x14ac:dyDescent="0.25">
      <c r="A131" s="5"/>
      <c r="H131" s="21"/>
      <c r="L131" s="21"/>
      <c r="M131" s="21"/>
      <c r="T131"/>
      <c r="U131"/>
      <c r="V131"/>
      <c r="W131"/>
      <c r="X131"/>
    </row>
    <row r="132" spans="1:24" s="20" customFormat="1" x14ac:dyDescent="0.25">
      <c r="A132" s="5"/>
      <c r="H132" s="21"/>
      <c r="L132" s="21"/>
      <c r="M132" s="21"/>
      <c r="T132"/>
      <c r="U132"/>
      <c r="V132"/>
      <c r="W132"/>
      <c r="X132"/>
    </row>
    <row r="133" spans="1:24" s="20" customFormat="1" x14ac:dyDescent="0.25">
      <c r="A133" s="5"/>
      <c r="H133" s="21"/>
      <c r="L133" s="21"/>
      <c r="M133" s="21"/>
      <c r="T133"/>
      <c r="U133"/>
      <c r="V133"/>
      <c r="W133"/>
      <c r="X133"/>
    </row>
    <row r="134" spans="1:24" s="20" customFormat="1" x14ac:dyDescent="0.25">
      <c r="A134" s="5"/>
      <c r="H134" s="21"/>
      <c r="L134" s="21"/>
      <c r="M134" s="21"/>
      <c r="T134"/>
      <c r="U134"/>
      <c r="V134"/>
      <c r="W134"/>
      <c r="X134"/>
    </row>
    <row r="135" spans="1:24" s="20" customFormat="1" x14ac:dyDescent="0.25">
      <c r="A135" s="5"/>
      <c r="H135" s="21"/>
      <c r="L135" s="21"/>
      <c r="M135" s="21"/>
      <c r="T135"/>
      <c r="U135"/>
      <c r="V135"/>
      <c r="W135"/>
      <c r="X135"/>
    </row>
    <row r="136" spans="1:24" s="20" customFormat="1" x14ac:dyDescent="0.25">
      <c r="A136" s="5"/>
      <c r="H136" s="21"/>
      <c r="L136" s="21"/>
      <c r="M136" s="21"/>
      <c r="T136"/>
      <c r="U136"/>
      <c r="V136"/>
      <c r="W136"/>
      <c r="X136"/>
    </row>
    <row r="137" spans="1:24" s="20" customFormat="1" x14ac:dyDescent="0.25">
      <c r="A137" s="5"/>
      <c r="H137" s="21"/>
      <c r="L137" s="21"/>
      <c r="M137" s="21"/>
      <c r="T137"/>
      <c r="U137"/>
      <c r="V137"/>
      <c r="W137"/>
      <c r="X137"/>
    </row>
    <row r="138" spans="1:24" s="20" customFormat="1" x14ac:dyDescent="0.25">
      <c r="A138" s="5"/>
      <c r="H138" s="21"/>
      <c r="L138" s="21"/>
      <c r="M138" s="21"/>
      <c r="T138"/>
      <c r="U138"/>
      <c r="V138"/>
      <c r="W138"/>
      <c r="X138"/>
    </row>
    <row r="139" spans="1:24" s="20" customFormat="1" x14ac:dyDescent="0.25">
      <c r="A139" s="5"/>
      <c r="H139" s="21"/>
      <c r="L139" s="21"/>
      <c r="M139" s="21"/>
      <c r="T139"/>
      <c r="U139"/>
      <c r="V139"/>
      <c r="W139"/>
      <c r="X139"/>
    </row>
    <row r="140" spans="1:24" s="20" customFormat="1" x14ac:dyDescent="0.25">
      <c r="A140" s="5"/>
      <c r="H140" s="21"/>
      <c r="L140" s="21"/>
      <c r="M140" s="21"/>
      <c r="T140"/>
      <c r="U140"/>
      <c r="V140"/>
      <c r="W140"/>
      <c r="X140"/>
    </row>
    <row r="141" spans="1:24" s="20" customFormat="1" x14ac:dyDescent="0.25">
      <c r="A141" s="5"/>
      <c r="H141" s="21"/>
      <c r="L141" s="21"/>
      <c r="M141" s="21"/>
      <c r="T141"/>
      <c r="U141"/>
      <c r="V141"/>
      <c r="W141"/>
      <c r="X141"/>
    </row>
    <row r="142" spans="1:24" s="20" customFormat="1" x14ac:dyDescent="0.25">
      <c r="A142" s="5"/>
      <c r="H142" s="21"/>
      <c r="L142" s="21"/>
      <c r="M142" s="21"/>
      <c r="T142"/>
      <c r="U142"/>
      <c r="V142"/>
      <c r="W142"/>
      <c r="X142"/>
    </row>
    <row r="143" spans="1:24" s="20" customFormat="1" x14ac:dyDescent="0.25">
      <c r="A143" s="5"/>
      <c r="H143" s="21"/>
      <c r="L143" s="21"/>
      <c r="M143" s="21"/>
      <c r="T143"/>
      <c r="U143"/>
      <c r="V143"/>
      <c r="W143"/>
      <c r="X143"/>
    </row>
    <row r="144" spans="1:24" s="20" customFormat="1" x14ac:dyDescent="0.25">
      <c r="A144" s="5"/>
      <c r="H144" s="21"/>
      <c r="L144" s="21"/>
      <c r="M144" s="21"/>
      <c r="T144"/>
      <c r="U144"/>
      <c r="V144"/>
      <c r="W144"/>
      <c r="X144"/>
    </row>
    <row r="145" spans="1:24" s="20" customFormat="1" x14ac:dyDescent="0.25">
      <c r="A145" s="5"/>
      <c r="H145" s="21"/>
      <c r="L145" s="21"/>
      <c r="M145" s="21"/>
      <c r="T145"/>
      <c r="U145"/>
      <c r="V145"/>
      <c r="W145"/>
      <c r="X145"/>
    </row>
    <row r="146" spans="1:24" s="20" customFormat="1" x14ac:dyDescent="0.25">
      <c r="A146" s="5"/>
      <c r="H146" s="21"/>
      <c r="L146" s="21"/>
      <c r="M146" s="21"/>
      <c r="T146"/>
      <c r="U146"/>
      <c r="V146"/>
      <c r="W146"/>
      <c r="X146"/>
    </row>
    <row r="147" spans="1:24" s="20" customFormat="1" x14ac:dyDescent="0.25">
      <c r="A147" s="5"/>
      <c r="H147" s="21"/>
      <c r="L147" s="21"/>
      <c r="M147" s="21"/>
      <c r="T147"/>
      <c r="U147"/>
      <c r="V147"/>
      <c r="W147"/>
      <c r="X147"/>
    </row>
    <row r="148" spans="1:24" s="20" customFormat="1" x14ac:dyDescent="0.25">
      <c r="A148" s="5"/>
      <c r="H148" s="21"/>
      <c r="L148" s="21"/>
      <c r="M148" s="21"/>
      <c r="T148"/>
      <c r="U148"/>
      <c r="V148"/>
      <c r="W148"/>
      <c r="X148"/>
    </row>
    <row r="149" spans="1:24" s="20" customFormat="1" x14ac:dyDescent="0.25">
      <c r="A149" s="5"/>
      <c r="H149" s="21"/>
      <c r="L149" s="21"/>
      <c r="M149" s="21"/>
      <c r="T149"/>
      <c r="U149"/>
      <c r="V149"/>
      <c r="W149"/>
      <c r="X149"/>
    </row>
    <row r="150" spans="1:24" s="20" customFormat="1" x14ac:dyDescent="0.25">
      <c r="A150" s="5"/>
      <c r="H150" s="21"/>
      <c r="L150" s="21"/>
      <c r="M150" s="21"/>
      <c r="T150"/>
      <c r="U150"/>
      <c r="V150"/>
      <c r="W150"/>
      <c r="X150"/>
    </row>
    <row r="151" spans="1:24" s="20" customFormat="1" x14ac:dyDescent="0.25">
      <c r="A151" s="5"/>
      <c r="H151" s="21"/>
      <c r="L151" s="21"/>
      <c r="M151" s="21"/>
      <c r="T151"/>
      <c r="U151"/>
      <c r="V151"/>
      <c r="W151"/>
      <c r="X151"/>
    </row>
    <row r="152" spans="1:24" s="20" customFormat="1" x14ac:dyDescent="0.25">
      <c r="A152" s="5"/>
      <c r="H152" s="21"/>
      <c r="L152" s="21"/>
      <c r="M152" s="21"/>
      <c r="T152"/>
      <c r="U152"/>
      <c r="V152"/>
      <c r="W152"/>
      <c r="X152"/>
    </row>
    <row r="153" spans="1:24" s="20" customFormat="1" x14ac:dyDescent="0.25">
      <c r="A153" s="5"/>
      <c r="H153" s="21"/>
      <c r="L153" s="21"/>
      <c r="M153" s="21"/>
      <c r="T153"/>
      <c r="U153"/>
      <c r="V153"/>
      <c r="W153"/>
      <c r="X153"/>
    </row>
    <row r="154" spans="1:24" s="20" customFormat="1" x14ac:dyDescent="0.25">
      <c r="A154" s="5"/>
      <c r="H154" s="21"/>
      <c r="L154" s="21"/>
      <c r="M154" s="21"/>
      <c r="T154"/>
      <c r="U154"/>
      <c r="V154"/>
      <c r="W154"/>
      <c r="X154"/>
    </row>
    <row r="155" spans="1:24" s="20" customFormat="1" x14ac:dyDescent="0.25">
      <c r="A155" s="5"/>
      <c r="H155" s="21"/>
      <c r="L155" s="21"/>
      <c r="M155" s="21"/>
      <c r="T155"/>
      <c r="U155"/>
      <c r="V155"/>
      <c r="W155"/>
      <c r="X155"/>
    </row>
    <row r="156" spans="1:24" s="20" customFormat="1" x14ac:dyDescent="0.25">
      <c r="A156" s="5"/>
      <c r="H156" s="21"/>
      <c r="L156" s="21"/>
      <c r="M156" s="21"/>
      <c r="T156"/>
      <c r="U156"/>
      <c r="V156"/>
      <c r="W156"/>
      <c r="X156"/>
    </row>
    <row r="157" spans="1:24" s="20" customFormat="1" x14ac:dyDescent="0.25">
      <c r="A157" s="5"/>
      <c r="H157" s="21"/>
      <c r="L157" s="21"/>
      <c r="M157" s="21"/>
      <c r="T157"/>
      <c r="U157"/>
      <c r="V157"/>
      <c r="W157"/>
      <c r="X157"/>
    </row>
    <row r="158" spans="1:24" s="20" customFormat="1" x14ac:dyDescent="0.25">
      <c r="A158" s="5"/>
      <c r="H158" s="21"/>
      <c r="L158" s="21"/>
      <c r="M158" s="21"/>
      <c r="T158"/>
      <c r="U158"/>
      <c r="V158"/>
      <c r="W158"/>
      <c r="X158"/>
    </row>
    <row r="159" spans="1:24" s="20" customFormat="1" x14ac:dyDescent="0.25">
      <c r="A159" s="5"/>
      <c r="H159" s="21"/>
      <c r="L159" s="21"/>
      <c r="M159" s="21"/>
      <c r="T159"/>
      <c r="U159"/>
      <c r="V159"/>
      <c r="W159"/>
      <c r="X159"/>
    </row>
    <row r="160" spans="1:24" s="20" customFormat="1" x14ac:dyDescent="0.25">
      <c r="A160" s="5"/>
      <c r="H160" s="21"/>
      <c r="L160" s="21"/>
      <c r="M160" s="21"/>
      <c r="T160"/>
      <c r="U160"/>
      <c r="V160"/>
      <c r="W160"/>
      <c r="X160"/>
    </row>
    <row r="161" spans="1:24" s="20" customFormat="1" x14ac:dyDescent="0.25">
      <c r="A161" s="5"/>
      <c r="H161" s="21"/>
      <c r="L161" s="21"/>
      <c r="M161" s="21"/>
      <c r="T161"/>
      <c r="U161"/>
      <c r="V161"/>
      <c r="W161"/>
      <c r="X161"/>
    </row>
    <row r="162" spans="1:24" s="20" customFormat="1" x14ac:dyDescent="0.25">
      <c r="A162" s="5"/>
      <c r="H162" s="21"/>
      <c r="L162" s="21"/>
      <c r="M162" s="21"/>
      <c r="T162"/>
      <c r="U162"/>
      <c r="V162"/>
      <c r="W162"/>
      <c r="X162"/>
    </row>
    <row r="163" spans="1:24" s="20" customFormat="1" x14ac:dyDescent="0.25">
      <c r="A163" s="5"/>
      <c r="H163" s="21"/>
      <c r="L163" s="21"/>
      <c r="M163" s="21"/>
      <c r="T163"/>
      <c r="U163"/>
      <c r="V163"/>
      <c r="W163"/>
      <c r="X163"/>
    </row>
    <row r="164" spans="1:24" s="20" customFormat="1" x14ac:dyDescent="0.25">
      <c r="A164" s="5"/>
      <c r="H164" s="21"/>
      <c r="L164" s="21"/>
      <c r="M164" s="21"/>
      <c r="T164"/>
      <c r="U164"/>
      <c r="V164"/>
      <c r="W164"/>
      <c r="X164"/>
    </row>
    <row r="165" spans="1:24" s="20" customFormat="1" x14ac:dyDescent="0.25">
      <c r="A165" s="5"/>
      <c r="H165" s="21"/>
      <c r="L165" s="21"/>
      <c r="M165" s="21"/>
      <c r="T165"/>
      <c r="U165"/>
      <c r="V165"/>
      <c r="W165"/>
      <c r="X165"/>
    </row>
    <row r="166" spans="1:24" s="20" customFormat="1" x14ac:dyDescent="0.25">
      <c r="A166" s="5"/>
      <c r="H166" s="21"/>
      <c r="L166" s="21"/>
      <c r="M166" s="21"/>
      <c r="T166"/>
      <c r="U166"/>
      <c r="V166"/>
      <c r="W166"/>
      <c r="X166"/>
    </row>
    <row r="167" spans="1:24" s="20" customFormat="1" x14ac:dyDescent="0.25">
      <c r="A167" s="5"/>
      <c r="L167" s="21"/>
      <c r="M167" s="21"/>
      <c r="T167"/>
      <c r="U167"/>
      <c r="V167"/>
      <c r="W167"/>
      <c r="X167"/>
    </row>
    <row r="168" spans="1:24" s="20" customFormat="1" x14ac:dyDescent="0.25">
      <c r="A168" s="5"/>
      <c r="L168" s="21"/>
      <c r="M168" s="21"/>
      <c r="T168"/>
      <c r="U168"/>
      <c r="V168"/>
      <c r="W168"/>
      <c r="X168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2026-03-11T16:26:13Z</cp:lastPrinted>
  <dcterms:created xsi:type="dcterms:W3CDTF">2022-01-10T16:49:23Z</dcterms:created>
  <dcterms:modified xsi:type="dcterms:W3CDTF">2026-07-09T13:43:03Z</dcterms:modified>
</cp:coreProperties>
</file>