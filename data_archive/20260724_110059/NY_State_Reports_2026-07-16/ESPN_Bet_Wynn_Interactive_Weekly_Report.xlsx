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R:\MOBILE SPORTS WAGERING\11_Weekly Web Reports\"/>
    </mc:Choice>
  </mc:AlternateContent>
  <xr:revisionPtr revIDLastSave="0" documentId="13_ncr:1_{FD47B012-D61D-43C1-8EB3-21E78B184A55}" xr6:coauthVersionLast="47" xr6:coauthVersionMax="47" xr10:uidLastSave="{00000000-0000-0000-0000-000000000000}"/>
  <bookViews>
    <workbookView xWindow="28680" yWindow="-120" windowWidth="29040" windowHeight="15720" xr2:uid="{EDA5EF8F-B63B-4D9E-966F-AB4A019BBE74}"/>
  </bookViews>
  <sheets>
    <sheet name="FY 26-27" sheetId="8" r:id="rId1"/>
    <sheet name="FY 25-26" sheetId="7" r:id="rId2"/>
    <sheet name="FY 24-25 ESPN" sheetId="6" r:id="rId3"/>
    <sheet name="FY 24-25" sheetId="5" r:id="rId4"/>
    <sheet name="FY 23-24" sheetId="4" r:id="rId5"/>
    <sheet name="FY22-23" sheetId="3" r:id="rId6"/>
    <sheet name="FY21-22" sheetId="1" r:id="rId7"/>
  </sheets>
  <definedNames>
    <definedName name="_xlnm.Print_Area" localSheetId="4">'FY 23-24'!$A$1:$J$72</definedName>
    <definedName name="_xlnm.Print_Area" localSheetId="3">'FY 24-25'!$A$1:$J$73</definedName>
    <definedName name="_xlnm.Print_Area" localSheetId="2">'FY 24-25 ESPN'!$A$1:$J$73</definedName>
    <definedName name="_xlnm.Print_Area" localSheetId="1">'FY 25-26'!$A$1:$J$73</definedName>
    <definedName name="_xlnm.Print_Area" localSheetId="0">'FY 26-27'!$A$1:$J$72</definedName>
    <definedName name="_xlnm.Print_Area" localSheetId="5">'FY22-23'!$A$1:$J$71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5" i="8" l="1"/>
  <c r="F67" i="8"/>
  <c r="C67" i="8"/>
  <c r="A14" i="8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F67" i="7"/>
  <c r="C67" i="7"/>
  <c r="A14" i="7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14" i="6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C67" i="6"/>
  <c r="F67" i="6"/>
  <c r="F67" i="5"/>
  <c r="C67" i="5"/>
  <c r="A14" i="5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F67" i="4"/>
  <c r="C67" i="4"/>
  <c r="A14" i="4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F66" i="3"/>
  <c r="C66" i="3"/>
  <c r="A14" i="3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D25" i="1" l="1"/>
  <c r="B25" i="1"/>
  <c r="A14" i="1"/>
  <c r="A15" i="1" s="1"/>
  <c r="A16" i="1" s="1"/>
  <c r="A17" i="1" s="1"/>
  <c r="A18" i="1" s="1"/>
  <c r="A19" i="1" s="1"/>
  <c r="A20" i="1" s="1"/>
  <c r="A21" i="1" s="1"/>
  <c r="A22" i="1" s="1"/>
  <c r="A23" i="1" s="1"/>
  <c r="A24" i="1" s="1"/>
</calcChain>
</file>

<file path=xl/sharedStrings.xml><?xml version="1.0" encoding="utf-8"?>
<sst xmlns="http://schemas.openxmlformats.org/spreadsheetml/2006/main" count="102" uniqueCount="24">
  <si>
    <t>Wagering</t>
  </si>
  <si>
    <t>Total</t>
  </si>
  <si>
    <t>Week-Ending</t>
  </si>
  <si>
    <t>GGR</t>
  </si>
  <si>
    <t>Handle</t>
  </si>
  <si>
    <t>Note:</t>
  </si>
  <si>
    <t xml:space="preserve">Mobile Sports </t>
  </si>
  <si>
    <t>Mobile Sports Wagering</t>
  </si>
  <si>
    <t xml:space="preserve"> Fiscal Year 2021/2022</t>
  </si>
  <si>
    <t>1) Sports wagering gross gaming revenue is reported on a cash basis in New York State. The wagers on future events are taxed as current revenue and payouts for winning wagers are recognized in the period redeemed.</t>
  </si>
  <si>
    <t>Report compiled by the New York State Gaming Commission based on data provided by Wynn</t>
  </si>
  <si>
    <t xml:space="preserve">2) Mobile Sports Wagering Gross Gaming Revenue (GGR) is taxed at 51%. </t>
  </si>
  <si>
    <t>3) Wynn Interactive Sportsbook began operating in NY on 2/3/22.</t>
  </si>
  <si>
    <t xml:space="preserve"> Fiscal Year 2022/2023</t>
  </si>
  <si>
    <t xml:space="preserve"> Fiscal Year 2023/2024</t>
  </si>
  <si>
    <t xml:space="preserve"> Fiscal Year 2024/2025</t>
  </si>
  <si>
    <t>Report compiled by the New York State Gaming Commission based on data provided by ESPN Bet</t>
  </si>
  <si>
    <t>3) Wynn Interactive discontinured operations in New York on 7/28/2024</t>
  </si>
  <si>
    <t>3) ESPN Bet began operating on 9/26/2024</t>
  </si>
  <si>
    <t xml:space="preserve"> Fiscal Year 2025/2026</t>
  </si>
  <si>
    <t>Report compiled by the New York State Gaming Commission based on data provided by theScore Bet, previously ESPN Bet</t>
  </si>
  <si>
    <t xml:space="preserve"> Fiscal Year 2026/2027</t>
  </si>
  <si>
    <t>3) ESPN Bet was rebranded as theScore Bet as of week ending 12/07/2025.</t>
  </si>
  <si>
    <t>Report compiled by the New York State Gaming Commission based on data provided by theScore Bet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</si>
</sst>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5" formatCode="&quot;$&quot;#,##0_);\(&quot;$&quot;#,##0\)"/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mmm\-yy;@"/>
    <numFmt numFmtId="165" formatCode="mm/dd/yy;@"/>
    <numFmt numFmtId="166" formatCode="0.00%_);[Red]\(0.00%\)"/>
    <numFmt numFmtId="167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2"/>
      <name val="Arial"/>
      <family val="2"/>
    </font>
    <font>
      <u/>
      <sz val="10"/>
      <color indexed="12"/>
      <name val="Arial"/>
      <family val="2"/>
    </font>
    <font>
      <u/>
      <sz val="11"/>
      <color indexed="12"/>
      <name val="Arial"/>
      <family val="2"/>
    </font>
    <font>
      <sz val="11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i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62">
    <xf numFmtId="0" fontId="0" fillId="0" borderId="0" xfId="0"/>
    <xf numFmtId="6" fontId="2" fillId="0" borderId="0" xfId="0" applyNumberFormat="1" applyFont="1" applyAlignment="1">
      <alignment horizontal="center"/>
    </xf>
    <xf numFmtId="6" fontId="2" fillId="0" borderId="0" xfId="0" applyNumberFormat="1" applyFont="1"/>
    <xf numFmtId="0" fontId="0" fillId="0" borderId="0" xfId="0" applyAlignment="1">
      <alignment horizontal="center"/>
    </xf>
    <xf numFmtId="6" fontId="4" fillId="0" borderId="0" xfId="1" applyNumberFormat="1" applyFont="1" applyAlignment="1" applyProtection="1"/>
    <xf numFmtId="6" fontId="5" fillId="0" borderId="0" xfId="0" applyNumberFormat="1" applyFont="1"/>
    <xf numFmtId="164" fontId="0" fillId="0" borderId="0" xfId="0" applyNumberFormat="1" applyAlignment="1">
      <alignment horizontal="center"/>
    </xf>
    <xf numFmtId="6" fontId="0" fillId="0" borderId="0" xfId="0" applyNumberFormat="1" applyAlignment="1">
      <alignment horizontal="left"/>
    </xf>
    <xf numFmtId="6" fontId="0" fillId="0" borderId="0" xfId="0" applyNumberFormat="1" applyAlignment="1">
      <alignment horizontal="center"/>
    </xf>
    <xf numFmtId="38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6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6" fontId="9" fillId="0" borderId="0" xfId="0" applyNumberFormat="1" applyFont="1" applyAlignment="1">
      <alignment horizontal="center"/>
    </xf>
    <xf numFmtId="38" fontId="9" fillId="0" borderId="0" xfId="0" applyNumberFormat="1" applyFont="1" applyAlignment="1">
      <alignment horizontal="center" wrapText="1"/>
    </xf>
    <xf numFmtId="164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64" fontId="9" fillId="0" borderId="4" xfId="0" applyNumberFormat="1" applyFont="1" applyBorder="1" applyAlignment="1">
      <alignment horizontal="center"/>
    </xf>
    <xf numFmtId="6" fontId="9" fillId="0" borderId="4" xfId="0" applyNumberFormat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6" fontId="0" fillId="0" borderId="0" xfId="0" applyNumberFormat="1"/>
    <xf numFmtId="38" fontId="0" fillId="0" borderId="0" xfId="0" applyNumberFormat="1"/>
    <xf numFmtId="6" fontId="0" fillId="0" borderId="5" xfId="0" applyNumberFormat="1" applyBorder="1"/>
    <xf numFmtId="166" fontId="0" fillId="0" borderId="0" xfId="0" applyNumberFormat="1"/>
    <xf numFmtId="166" fontId="7" fillId="0" borderId="0" xfId="0" applyNumberFormat="1" applyFont="1" applyAlignment="1">
      <alignment horizontal="left"/>
    </xf>
    <xf numFmtId="6" fontId="0" fillId="0" borderId="0" xfId="0" applyNumberFormat="1" applyAlignment="1">
      <alignment wrapText="1"/>
    </xf>
    <xf numFmtId="38" fontId="0" fillId="0" borderId="0" xfId="0" applyNumberFormat="1" applyAlignment="1">
      <alignment wrapText="1"/>
    </xf>
    <xf numFmtId="0" fontId="7" fillId="0" borderId="0" xfId="0" applyFont="1" applyFill="1" applyAlignment="1">
      <alignment horizontal="center"/>
    </xf>
    <xf numFmtId="164" fontId="6" fillId="0" borderId="0" xfId="0" applyNumberFormat="1" applyFont="1" applyFill="1" applyBorder="1" applyAlignment="1"/>
    <xf numFmtId="164" fontId="6" fillId="0" borderId="6" xfId="0" applyNumberFormat="1" applyFont="1" applyFill="1" applyBorder="1" applyAlignment="1"/>
    <xf numFmtId="6" fontId="0" fillId="0" borderId="0" xfId="0" applyNumberFormat="1" applyBorder="1"/>
    <xf numFmtId="6" fontId="2" fillId="0" borderId="0" xfId="0" applyNumberFormat="1" applyFont="1" applyAlignment="1"/>
    <xf numFmtId="6" fontId="9" fillId="0" borderId="0" xfId="0" applyNumberFormat="1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0" fillId="0" borderId="0" xfId="0" applyBorder="1"/>
    <xf numFmtId="6" fontId="3" fillId="0" borderId="0" xfId="1" applyNumberFormat="1" applyAlignment="1" applyProtection="1"/>
    <xf numFmtId="6" fontId="1" fillId="0" borderId="0" xfId="0" applyNumberFormat="1" applyFont="1" applyAlignment="1"/>
    <xf numFmtId="38" fontId="8" fillId="0" borderId="0" xfId="0" applyNumberFormat="1" applyFont="1" applyBorder="1" applyAlignment="1">
      <alignment horizontal="center" vertical="center" wrapText="1"/>
    </xf>
    <xf numFmtId="6" fontId="1" fillId="0" borderId="0" xfId="0" applyNumberFormat="1" applyFont="1"/>
    <xf numFmtId="164" fontId="6" fillId="0" borderId="0" xfId="0" applyNumberFormat="1" applyFont="1"/>
    <xf numFmtId="38" fontId="8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left" vertical="center"/>
    </xf>
    <xf numFmtId="5" fontId="0" fillId="0" borderId="0" xfId="0" applyNumberFormat="1"/>
    <xf numFmtId="38" fontId="8" fillId="0" borderId="0" xfId="0" applyNumberFormat="1" applyFont="1" applyAlignment="1">
      <alignment horizontal="center" vertical="center" wrapText="1"/>
    </xf>
    <xf numFmtId="38" fontId="8" fillId="0" borderId="0" xfId="0" applyNumberFormat="1" applyFont="1" applyAlignment="1">
      <alignment horizontal="center" vertical="center" wrapText="1"/>
    </xf>
    <xf numFmtId="44" fontId="0" fillId="0" borderId="0" xfId="0" applyNumberFormat="1"/>
    <xf numFmtId="43" fontId="0" fillId="0" borderId="0" xfId="0" applyNumberFormat="1"/>
    <xf numFmtId="38" fontId="8" fillId="0" borderId="0" xfId="0" applyNumberFormat="1" applyFont="1" applyAlignment="1">
      <alignment horizontal="center" vertical="center" wrapText="1"/>
    </xf>
    <xf numFmtId="38" fontId="8" fillId="0" borderId="0" xfId="0" applyNumberFormat="1" applyFont="1" applyAlignment="1">
      <alignment horizontal="center" vertical="center" wrapText="1"/>
    </xf>
    <xf numFmtId="167" fontId="0" fillId="0" borderId="0" xfId="0" applyNumberFormat="1"/>
    <xf numFmtId="38" fontId="8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164" fontId="6" fillId="2" borderId="0" xfId="0" applyNumberFormat="1" applyFont="1" applyFill="1" applyAlignment="1">
      <alignment horizontal="center"/>
    </xf>
    <xf numFmtId="38" fontId="8" fillId="0" borderId="0" xfId="0" applyNumberFormat="1" applyFont="1" applyAlignment="1">
      <alignment horizontal="center" vertical="center" wrapText="1"/>
    </xf>
    <xf numFmtId="166" fontId="7" fillId="0" borderId="0" xfId="0" applyNumberFormat="1" applyFont="1" applyAlignment="1">
      <alignment horizontal="left" vertical="center" wrapText="1"/>
    </xf>
    <xf numFmtId="38" fontId="8" fillId="0" borderId="0" xfId="0" applyNumberFormat="1" applyFont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center"/>
    </xf>
    <xf numFmtId="164" fontId="6" fillId="2" borderId="2" xfId="0" applyNumberFormat="1" applyFont="1" applyFill="1" applyBorder="1" applyAlignment="1">
      <alignment horizontal="center"/>
    </xf>
    <xf numFmtId="164" fontId="6" fillId="2" borderId="3" xfId="0" applyNumberFormat="1" applyFont="1" applyFill="1" applyBorder="1" applyAlignment="1">
      <alignment horizontal="center"/>
    </xf>
    <xf numFmtId="166" fontId="7" fillId="0" borderId="0" xfId="0" applyNumberFormat="1" applyFont="1" applyAlignment="1">
      <alignment horizontal="left" wrapText="1"/>
    </xf>
    <xf numFmtId="166" fontId="7" fillId="0" borderId="0" xfId="0" applyNumberFormat="1" applyFon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6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152401</xdr:colOff>
      <xdr:row>0</xdr:row>
      <xdr:rowOff>76200</xdr:rowOff>
    </xdr:from>
    <xdr:to>
      <xdr:col>1</xdr:col>
      <xdr:colOff>485775</xdr:colOff>
      <xdr:row>4</xdr:row>
      <xdr:rowOff>106114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1CD19D-CABB-4C59-8550-14C2937BA2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1" y="76200"/>
          <a:ext cx="1123949" cy="83953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152401</xdr:colOff>
      <xdr:row>0</xdr:row>
      <xdr:rowOff>76200</xdr:rowOff>
    </xdr:from>
    <xdr:to>
      <xdr:col>1</xdr:col>
      <xdr:colOff>485775</xdr:colOff>
      <xdr:row>4</xdr:row>
      <xdr:rowOff>106114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6A1BE32-AFFD-586A-3798-751E726FB1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1" y="76200"/>
          <a:ext cx="1123949" cy="83953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152401</xdr:colOff>
      <xdr:row>0</xdr:row>
      <xdr:rowOff>38100</xdr:rowOff>
    </xdr:from>
    <xdr:ext cx="1085850" cy="867395"/>
    <xdr:pic>
      <xdr:nvPicPr>
        <xdr:cNvPr id="2" name="Picture 1">
          <a:extLst>
            <a:ext uri="{FF2B5EF4-FFF2-40B4-BE49-F238E27FC236}">
              <a16:creationId xmlns:a16="http://schemas.microsoft.com/office/drawing/2014/main" id="{CC0C43E9-09AE-4D00-AC76-919C2F4A56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1" y="38100"/>
          <a:ext cx="1085850" cy="8673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66675</xdr:rowOff>
    </xdr:from>
    <xdr:to>
      <xdr:col>2</xdr:col>
      <xdr:colOff>349885</xdr:colOff>
      <xdr:row>4</xdr:row>
      <xdr:rowOff>92075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380A40-201C-443C-A869-63BEBE5AC802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66675"/>
          <a:ext cx="1864360" cy="8350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66675</xdr:rowOff>
    </xdr:from>
    <xdr:to>
      <xdr:col>2</xdr:col>
      <xdr:colOff>349885</xdr:colOff>
      <xdr:row>4</xdr:row>
      <xdr:rowOff>92075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865CA8-BFC9-45B1-B500-12845CE24FF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66675"/>
          <a:ext cx="1864360" cy="8350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66675</xdr:rowOff>
    </xdr:from>
    <xdr:to>
      <xdr:col>2</xdr:col>
      <xdr:colOff>349885</xdr:colOff>
      <xdr:row>4</xdr:row>
      <xdr:rowOff>92075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DA5C52B-CE21-458E-A8BD-F0E03459526F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66675"/>
          <a:ext cx="1864360" cy="8350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95250</xdr:rowOff>
    </xdr:from>
    <xdr:to>
      <xdr:col>2</xdr:col>
      <xdr:colOff>83185</xdr:colOff>
      <xdr:row>4</xdr:row>
      <xdr:rowOff>120650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1B92878-4A9A-4412-BB32-0678256739C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95250"/>
          <a:ext cx="1864360" cy="8350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82D20-1227-4172-9DC8-419514264FF9}">
  <sheetPr>
    <pageSetUpPr fitToPage="1"/>
  </sheetPr>
  <dimension ref="A1:X209"/>
  <sheetViews>
    <sheetView tabSelected="1" zoomScaleNormal="100" workbookViewId="0">
      <pane xSplit="2" ySplit="12" topLeftCell="C13" activePane="bottomRight" state="frozen"/>
      <selection activeCell="B33" sqref="B33"/>
      <selection pane="topRight" activeCell="B33" sqref="B33"/>
      <selection pane="bottomLeft" activeCell="B33" sqref="B33"/>
      <selection pane="bottomRight" activeCell="I24" sqref="I2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4"/>
      <c r="U3" s="4"/>
      <c r="V3" s="4"/>
      <c r="W3" s="4"/>
      <c r="X3" s="4"/>
    </row>
    <row r="4" spans="1:24" s="3" customFormat="1" ht="18" x14ac:dyDescent="0.25">
      <c r="B4" s="39"/>
      <c r="C4" s="39"/>
      <c r="D4" s="39"/>
      <c r="E4" s="39"/>
      <c r="F4" s="39"/>
      <c r="G4" s="39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53" t="s">
        <v>21</v>
      </c>
      <c r="B6" s="53"/>
      <c r="C6" s="53"/>
      <c r="D6" s="53"/>
      <c r="E6" s="53"/>
      <c r="F6" s="53"/>
      <c r="G6" s="53"/>
      <c r="H6" s="53"/>
      <c r="I6" s="53"/>
      <c r="J6" s="53"/>
      <c r="K6" s="40"/>
      <c r="L6" s="40"/>
      <c r="M6" s="40"/>
      <c r="N6" s="40"/>
      <c r="O6" s="40"/>
      <c r="P6" s="40"/>
      <c r="Q6" s="40"/>
      <c r="R6" s="40"/>
      <c r="S6" s="40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54" t="s">
        <v>7</v>
      </c>
      <c r="C8" s="54"/>
      <c r="D8" s="54"/>
      <c r="E8" s="54"/>
      <c r="F8" s="54"/>
      <c r="G8" s="54"/>
    </row>
    <row r="9" spans="1:24" s="13" customFormat="1" ht="12.75" x14ac:dyDescent="0.2">
      <c r="B9" s="51"/>
      <c r="C9" s="51"/>
      <c r="D9" s="51"/>
      <c r="E9" s="51"/>
      <c r="F9" s="51"/>
      <c r="G9" s="51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46110</v>
      </c>
      <c r="B13" s="20"/>
      <c r="C13" s="21">
        <v>10078168.99</v>
      </c>
      <c r="D13" s="50"/>
      <c r="E13" s="50"/>
      <c r="F13" s="43">
        <v>1018495.97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5" si="0">A13+7</f>
        <v>46117</v>
      </c>
      <c r="B14" s="20"/>
      <c r="C14" s="21">
        <v>9265290.959999999</v>
      </c>
      <c r="D14" s="50"/>
      <c r="E14" s="50"/>
      <c r="F14" s="43">
        <v>1251338.6300000001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46124</v>
      </c>
      <c r="B15" s="20"/>
      <c r="C15" s="21">
        <v>9666488.6000000015</v>
      </c>
      <c r="D15" s="50"/>
      <c r="E15" s="50"/>
      <c r="F15" s="43">
        <v>474037.90000000014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46131</v>
      </c>
      <c r="B16" s="20"/>
      <c r="C16" s="21">
        <v>10638893.010000002</v>
      </c>
      <c r="D16" s="50"/>
      <c r="E16" s="50"/>
      <c r="F16" s="43">
        <v>576207.18000000017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46138</v>
      </c>
      <c r="B17" s="20"/>
      <c r="C17" s="21">
        <v>11893043.83</v>
      </c>
      <c r="D17" s="50"/>
      <c r="E17" s="50"/>
      <c r="F17" s="43">
        <v>506889.76000000036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46145</v>
      </c>
      <c r="B18" s="20"/>
      <c r="C18" s="21">
        <v>10309180.440000001</v>
      </c>
      <c r="D18" s="50"/>
      <c r="E18" s="50"/>
      <c r="F18" s="43">
        <v>726274.44999999984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46152</v>
      </c>
      <c r="B19" s="20"/>
      <c r="C19" s="21">
        <v>10437519.5</v>
      </c>
      <c r="D19" s="50"/>
      <c r="E19" s="50"/>
      <c r="F19" s="43">
        <v>1197326.0599999998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46159</v>
      </c>
      <c r="B20" s="20"/>
      <c r="C20" s="21">
        <v>8366825.8100000005</v>
      </c>
      <c r="D20" s="50"/>
      <c r="E20" s="50"/>
      <c r="F20" s="43">
        <v>663018.2999999997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46166</v>
      </c>
      <c r="B21" s="20"/>
      <c r="C21" s="21">
        <v>10085815.380000001</v>
      </c>
      <c r="D21" s="50"/>
      <c r="E21" s="50"/>
      <c r="F21" s="43">
        <v>854716.84999999916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46173</v>
      </c>
      <c r="B22" s="20"/>
      <c r="C22" s="21">
        <v>9464304.3300000001</v>
      </c>
      <c r="D22" s="50"/>
      <c r="E22" s="50"/>
      <c r="F22" s="43">
        <v>484211.81000000006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46180</v>
      </c>
      <c r="B23" s="20"/>
      <c r="C23" s="21">
        <v>7904739.6800000006</v>
      </c>
      <c r="D23" s="50"/>
      <c r="E23" s="50"/>
      <c r="F23" s="43">
        <v>844766.24000000022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46187</v>
      </c>
      <c r="B24" s="20"/>
      <c r="C24" s="21">
        <v>8798090.7799999993</v>
      </c>
      <c r="D24" s="50"/>
      <c r="E24" s="50"/>
      <c r="F24" s="43">
        <v>-13411.850000000792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46194</v>
      </c>
      <c r="B25" s="20"/>
      <c r="C25" s="21">
        <v>8020462.6400000006</v>
      </c>
      <c r="D25" s="50"/>
      <c r="E25" s="50"/>
      <c r="F25" s="43">
        <v>641093.33000000031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46201</v>
      </c>
      <c r="B26" s="20"/>
      <c r="C26" s="21">
        <v>8116386.6399999997</v>
      </c>
      <c r="D26" s="50"/>
      <c r="E26" s="50"/>
      <c r="F26" s="43">
        <v>802854.61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46208</v>
      </c>
      <c r="B27" s="20"/>
      <c r="C27" s="21">
        <v>8199662.5099999988</v>
      </c>
      <c r="D27" s="50"/>
      <c r="E27" s="50"/>
      <c r="F27" s="43">
        <v>495150.55999999994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46215</v>
      </c>
      <c r="B28" s="20"/>
      <c r="D28" s="50"/>
      <c r="E28" s="50"/>
      <c r="F28" s="43"/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46222</v>
      </c>
      <c r="B29" s="20"/>
      <c r="D29" s="50"/>
      <c r="E29" s="50"/>
      <c r="F29" s="43"/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46229</v>
      </c>
      <c r="B30" s="20"/>
      <c r="D30" s="50"/>
      <c r="E30" s="50"/>
      <c r="F30" s="43"/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46236</v>
      </c>
      <c r="B31" s="20"/>
      <c r="D31" s="50"/>
      <c r="E31" s="50"/>
      <c r="F31" s="43"/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46243</v>
      </c>
      <c r="B32" s="20"/>
      <c r="D32" s="50"/>
      <c r="E32" s="50"/>
      <c r="F32" s="43"/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46250</v>
      </c>
      <c r="B33" s="20"/>
      <c r="D33" s="50"/>
      <c r="E33" s="50"/>
      <c r="F33" s="43"/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46257</v>
      </c>
      <c r="B34" s="20"/>
      <c r="D34" s="50"/>
      <c r="E34" s="50"/>
      <c r="F34" s="43"/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46264</v>
      </c>
      <c r="B35" s="20"/>
      <c r="D35" s="50"/>
      <c r="E35" s="50"/>
      <c r="F35" s="43"/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46271</v>
      </c>
      <c r="B36" s="20"/>
      <c r="D36" s="50"/>
      <c r="E36" s="50"/>
      <c r="F36" s="43"/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46278</v>
      </c>
      <c r="B37" s="20"/>
      <c r="D37" s="50"/>
      <c r="E37" s="50"/>
      <c r="F37" s="43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46285</v>
      </c>
      <c r="B38" s="20"/>
      <c r="D38" s="50"/>
      <c r="E38" s="50"/>
      <c r="F38" s="43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46292</v>
      </c>
      <c r="B39" s="20"/>
      <c r="D39" s="50"/>
      <c r="E39" s="50"/>
      <c r="F39" s="43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46299</v>
      </c>
      <c r="B40" s="20"/>
      <c r="D40" s="50"/>
      <c r="E40" s="50"/>
      <c r="F40" s="43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46306</v>
      </c>
      <c r="B41" s="20"/>
      <c r="D41" s="50"/>
      <c r="E41" s="50"/>
      <c r="F41" s="43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46313</v>
      </c>
      <c r="B42" s="20"/>
      <c r="D42" s="50"/>
      <c r="E42" s="50"/>
      <c r="F42" s="43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46320</v>
      </c>
      <c r="B43" s="20"/>
      <c r="D43" s="50"/>
      <c r="E43" s="50"/>
      <c r="F43" s="43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46327</v>
      </c>
      <c r="B44" s="20"/>
      <c r="D44" s="50"/>
      <c r="E44" s="50"/>
      <c r="F44" s="43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46334</v>
      </c>
      <c r="B45" s="20"/>
      <c r="D45" s="50"/>
      <c r="E45" s="50"/>
      <c r="F45" s="43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46341</v>
      </c>
      <c r="B46" s="20"/>
      <c r="D46" s="50"/>
      <c r="E46" s="50"/>
      <c r="F46" s="43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46348</v>
      </c>
      <c r="B47" s="20"/>
      <c r="D47" s="50"/>
      <c r="E47" s="50"/>
      <c r="F47" s="43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46355</v>
      </c>
      <c r="B48" s="20"/>
      <c r="D48" s="50"/>
      <c r="E48" s="50"/>
      <c r="F48" s="43"/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46362</v>
      </c>
      <c r="B49" s="20"/>
      <c r="D49" s="50"/>
      <c r="E49" s="50"/>
      <c r="F49" s="43"/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46369</v>
      </c>
      <c r="B50" s="20"/>
      <c r="D50" s="50"/>
      <c r="E50" s="50"/>
      <c r="F50" s="43"/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46376</v>
      </c>
      <c r="B51" s="20"/>
      <c r="D51" s="50"/>
      <c r="E51" s="50"/>
      <c r="F51" s="43"/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46383</v>
      </c>
      <c r="B52" s="20"/>
      <c r="D52" s="50"/>
      <c r="E52" s="50"/>
      <c r="F52" s="43"/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46390</v>
      </c>
      <c r="B53" s="20"/>
      <c r="D53" s="50"/>
      <c r="E53" s="50"/>
      <c r="F53" s="43"/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46397</v>
      </c>
      <c r="B54" s="20"/>
      <c r="D54" s="50"/>
      <c r="E54" s="50"/>
      <c r="F54" s="43"/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46404</v>
      </c>
      <c r="B55" s="20"/>
      <c r="D55" s="50"/>
      <c r="E55" s="50"/>
      <c r="F55" s="43"/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46411</v>
      </c>
      <c r="B56" s="20"/>
      <c r="D56" s="50"/>
      <c r="E56" s="50"/>
      <c r="F56" s="43"/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46418</v>
      </c>
      <c r="B57" s="20"/>
      <c r="D57" s="50"/>
      <c r="E57" s="50"/>
      <c r="F57" s="43"/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46425</v>
      </c>
      <c r="B58" s="20"/>
      <c r="D58" s="50"/>
      <c r="E58" s="50"/>
      <c r="F58" s="43"/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46432</v>
      </c>
      <c r="B59" s="20"/>
      <c r="D59" s="50"/>
      <c r="E59" s="50"/>
      <c r="F59" s="43"/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46439</v>
      </c>
      <c r="B60" s="20"/>
      <c r="D60" s="50"/>
      <c r="E60" s="50"/>
      <c r="F60" s="43"/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46446</v>
      </c>
      <c r="B61" s="20"/>
      <c r="D61" s="50"/>
      <c r="E61" s="50"/>
      <c r="F61" s="43"/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46453</v>
      </c>
      <c r="B62" s="20"/>
      <c r="D62" s="50"/>
      <c r="E62" s="50"/>
      <c r="F62" s="43"/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46460</v>
      </c>
      <c r="B63" s="20"/>
      <c r="D63" s="50"/>
      <c r="E63" s="50"/>
      <c r="F63" s="43"/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46467</v>
      </c>
      <c r="B64" s="20"/>
      <c r="D64" s="50"/>
      <c r="E64" s="50"/>
      <c r="F64" s="43"/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>
        <f t="shared" si="0"/>
        <v>46474</v>
      </c>
      <c r="B65" s="20"/>
      <c r="F65" s="43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141244873.09999999</v>
      </c>
      <c r="F67" s="23">
        <f>SUM(F13:F66)</f>
        <v>10522969.799999999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s="42" customFormat="1" ht="25.5" customHeight="1" x14ac:dyDescent="0.25">
      <c r="A70" s="55" t="s">
        <v>9</v>
      </c>
      <c r="B70" s="55"/>
      <c r="C70" s="55"/>
      <c r="D70" s="55"/>
      <c r="E70" s="55"/>
      <c r="F70" s="55"/>
      <c r="G70" s="55"/>
      <c r="H70" s="55"/>
      <c r="I70" s="55"/>
      <c r="J70" s="55"/>
    </row>
    <row r="71" spans="1:19" s="42" customFormat="1" ht="15" customHeight="1" x14ac:dyDescent="0.25">
      <c r="A71" s="55" t="s">
        <v>11</v>
      </c>
      <c r="B71" s="55"/>
      <c r="C71" s="55"/>
      <c r="D71" s="55"/>
      <c r="E71" s="55"/>
      <c r="F71" s="55"/>
      <c r="G71" s="55"/>
      <c r="H71" s="55"/>
      <c r="I71" s="55"/>
      <c r="J71" s="55"/>
    </row>
    <row r="72" spans="1:19" s="42" customFormat="1" ht="15" customHeight="1" x14ac:dyDescent="0.25">
      <c r="A72" s="52" t="s">
        <v>23</v>
      </c>
      <c r="B72" s="52"/>
      <c r="C72" s="52"/>
      <c r="D72" s="52"/>
      <c r="E72" s="52"/>
      <c r="F72" s="52"/>
      <c r="G72" s="52"/>
      <c r="H72" s="52"/>
      <c r="I72" s="52"/>
      <c r="J72" s="52"/>
    </row>
    <row r="73" spans="1:19" s="42" customFormat="1" ht="15" customHeight="1" x14ac:dyDescent="0.25"/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G88" s="22"/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/>
      <c r="I102"/>
      <c r="J102"/>
      <c r="K10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x14ac:dyDescent="0.25">
      <c r="H104" s="24"/>
      <c r="I104" s="22"/>
      <c r="L104"/>
      <c r="M104"/>
      <c r="N104"/>
      <c r="O104"/>
      <c r="P104"/>
      <c r="Q104"/>
      <c r="R104"/>
      <c r="S104"/>
    </row>
    <row r="105" spans="2:21" s="24" customFormat="1" x14ac:dyDescent="0.25">
      <c r="B105" s="6"/>
      <c r="C105" s="21"/>
      <c r="D105" s="21"/>
      <c r="E105" s="21"/>
      <c r="F105" s="21"/>
      <c r="G105" s="21"/>
      <c r="H105" s="21"/>
      <c r="I105" s="21"/>
      <c r="J105" s="22"/>
      <c r="K105" s="21"/>
      <c r="M105" s="22"/>
      <c r="N105" s="21"/>
      <c r="O105" s="21"/>
      <c r="P105" s="21"/>
      <c r="Q105" s="21"/>
      <c r="R105" s="21"/>
      <c r="S105" s="21"/>
    </row>
    <row r="106" spans="2:21" s="24" customFormat="1" x14ac:dyDescent="0.25">
      <c r="B106" s="6"/>
      <c r="C106" s="21"/>
      <c r="D106" s="21"/>
      <c r="E106" s="21"/>
      <c r="F106" s="21"/>
      <c r="G106" s="21"/>
      <c r="H106" s="26"/>
      <c r="I106" s="26"/>
      <c r="J106" s="27"/>
      <c r="K106" s="26"/>
      <c r="M106" s="22"/>
      <c r="N106" s="21"/>
      <c r="O106" s="21"/>
      <c r="P106" s="21"/>
      <c r="Q106" s="21"/>
      <c r="R106" s="21"/>
      <c r="S106" s="21"/>
    </row>
    <row r="107" spans="2:21" x14ac:dyDescent="0.25">
      <c r="I107" s="22"/>
      <c r="L107" s="21"/>
      <c r="M107" s="21"/>
      <c r="T107" s="21"/>
      <c r="U107" s="21"/>
    </row>
    <row r="108" spans="2:21" x14ac:dyDescent="0.25">
      <c r="I108" s="22"/>
      <c r="L108" s="26"/>
      <c r="M108" s="26"/>
      <c r="N108" s="26"/>
      <c r="O108" s="26"/>
      <c r="P108" s="26"/>
      <c r="Q108" s="26"/>
      <c r="R108" s="26"/>
      <c r="T108" s="21"/>
      <c r="U108" s="21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x14ac:dyDescent="0.25">
      <c r="I118" s="22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I207" s="22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  <row r="209" spans="2:24" s="21" customFormat="1" x14ac:dyDescent="0.25">
      <c r="B209" s="6"/>
      <c r="L209" s="22"/>
      <c r="M209" s="22"/>
      <c r="T209"/>
      <c r="U209"/>
      <c r="V209"/>
      <c r="W209"/>
      <c r="X209"/>
    </row>
  </sheetData>
  <mergeCells count="5">
    <mergeCell ref="A72:J72"/>
    <mergeCell ref="A6:J6"/>
    <mergeCell ref="B8:G8"/>
    <mergeCell ref="A70:J70"/>
    <mergeCell ref="A71:J71"/>
  </mergeCells>
  <conditionalFormatting sqref="C21">
    <cfRule type="cellIs" dxfId="5" priority="1" operator="equal">
      <formula>0</formula>
    </cfRule>
  </conditionalFormatting>
  <printOptions horizontalCentered="1"/>
  <pageMargins left="0" right="0" top="0.5" bottom="0" header="0.3" footer="0.3"/>
  <pageSetup scale="6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28A18-5AD2-41F1-A705-D875018C2968}">
  <sheetPr>
    <pageSetUpPr fitToPage="1"/>
  </sheetPr>
  <dimension ref="A1:X209"/>
  <sheetViews>
    <sheetView zoomScaleNormal="100" workbookViewId="0">
      <pane xSplit="2" ySplit="12" topLeftCell="C13" activePane="bottomRight" state="frozen"/>
      <selection activeCell="B33" sqref="B33"/>
      <selection pane="topRight" activeCell="B33" sqref="B33"/>
      <selection pane="bottomLeft" activeCell="B33" sqref="B33"/>
      <selection pane="bottomRight" activeCell="A73" sqref="A73:J73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4"/>
      <c r="U3" s="4"/>
      <c r="V3" s="4"/>
      <c r="W3" s="4"/>
      <c r="X3" s="4"/>
    </row>
    <row r="4" spans="1:24" s="3" customFormat="1" ht="18" x14ac:dyDescent="0.25">
      <c r="B4" s="39"/>
      <c r="C4" s="39"/>
      <c r="D4" s="39"/>
      <c r="E4" s="39"/>
      <c r="F4" s="39"/>
      <c r="G4" s="39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53" t="s">
        <v>19</v>
      </c>
      <c r="B6" s="53"/>
      <c r="C6" s="53"/>
      <c r="D6" s="53"/>
      <c r="E6" s="53"/>
      <c r="F6" s="53"/>
      <c r="G6" s="53"/>
      <c r="H6" s="53"/>
      <c r="I6" s="53"/>
      <c r="J6" s="53"/>
      <c r="K6" s="40"/>
      <c r="L6" s="40"/>
      <c r="M6" s="40"/>
      <c r="N6" s="40"/>
      <c r="O6" s="40"/>
      <c r="P6" s="40"/>
      <c r="Q6" s="40"/>
      <c r="R6" s="40"/>
      <c r="S6" s="40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54" t="s">
        <v>7</v>
      </c>
      <c r="C8" s="54"/>
      <c r="D8" s="54"/>
      <c r="E8" s="54"/>
      <c r="F8" s="54"/>
      <c r="G8" s="54"/>
    </row>
    <row r="9" spans="1:24" s="13" customFormat="1" ht="12.75" x14ac:dyDescent="0.2">
      <c r="B9" s="49"/>
      <c r="C9" s="49"/>
      <c r="D9" s="49"/>
      <c r="E9" s="49"/>
      <c r="F9" s="49"/>
      <c r="G9" s="49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45746</v>
      </c>
      <c r="B13" s="20"/>
      <c r="C13" s="21">
        <v>10426962.65</v>
      </c>
      <c r="D13" s="50"/>
      <c r="E13" s="50"/>
      <c r="F13" s="21">
        <v>43278.240000000107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45753</v>
      </c>
      <c r="B14" s="20"/>
      <c r="C14" s="21">
        <v>15726877.139999999</v>
      </c>
      <c r="D14" s="50"/>
      <c r="E14" s="50"/>
      <c r="F14" s="21">
        <v>563404.49000000022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45760</v>
      </c>
      <c r="B15" s="20"/>
      <c r="C15" s="21">
        <v>11937076.84</v>
      </c>
      <c r="D15" s="50"/>
      <c r="E15" s="50"/>
      <c r="F15" s="21">
        <v>809952.7900000005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45767</v>
      </c>
      <c r="B16" s="20"/>
      <c r="C16" s="21">
        <v>9360501.6500000004</v>
      </c>
      <c r="D16" s="50"/>
      <c r="E16" s="50"/>
      <c r="F16" s="21">
        <v>483610.35999999964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45774</v>
      </c>
      <c r="B17" s="20"/>
      <c r="C17" s="21">
        <v>13885477.16</v>
      </c>
      <c r="D17" s="50"/>
      <c r="E17" s="50"/>
      <c r="F17" s="21">
        <v>1235701.76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45781</v>
      </c>
      <c r="B18" s="20"/>
      <c r="C18" s="21">
        <v>13593608.1</v>
      </c>
      <c r="D18" s="50"/>
      <c r="E18" s="50"/>
      <c r="F18" s="21">
        <v>478761.00000000047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45788</v>
      </c>
      <c r="B19" s="20"/>
      <c r="C19" s="21">
        <v>9996404.7599999998</v>
      </c>
      <c r="D19" s="50"/>
      <c r="E19" s="50"/>
      <c r="F19" s="21">
        <v>895145.9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45795</v>
      </c>
      <c r="B20" s="20"/>
      <c r="C20" s="21">
        <v>11482744.299999999</v>
      </c>
      <c r="D20" s="50"/>
      <c r="E20" s="50"/>
      <c r="F20" s="21">
        <v>1100702.2399999998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45802</v>
      </c>
      <c r="B21" s="20"/>
      <c r="C21" s="21">
        <v>10578627.050000001</v>
      </c>
      <c r="D21" s="50"/>
      <c r="E21" s="50"/>
      <c r="F21" s="21">
        <v>652944.14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45809</v>
      </c>
      <c r="B22" s="20"/>
      <c r="C22" s="21">
        <v>10355455.82</v>
      </c>
      <c r="D22" s="50"/>
      <c r="E22" s="50"/>
      <c r="F22" s="21">
        <v>1100989.99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45816</v>
      </c>
      <c r="B23" s="20"/>
      <c r="C23" s="21">
        <v>9508671.3800000008</v>
      </c>
      <c r="D23" s="50"/>
      <c r="E23" s="50"/>
      <c r="F23" s="21">
        <v>970333.9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45823</v>
      </c>
      <c r="B24" s="20"/>
      <c r="C24" s="21">
        <v>15555102.110000001</v>
      </c>
      <c r="D24" s="50"/>
      <c r="E24" s="50"/>
      <c r="F24" s="21">
        <v>616091.19000000018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45830</v>
      </c>
      <c r="B25" s="20"/>
      <c r="C25" s="21">
        <v>9903547.4300000016</v>
      </c>
      <c r="D25" s="50"/>
      <c r="E25" s="50"/>
      <c r="F25" s="21">
        <v>1487793.1100000003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45837</v>
      </c>
      <c r="B26" s="20"/>
      <c r="C26" s="21">
        <v>8967189.6600000001</v>
      </c>
      <c r="D26" s="50"/>
      <c r="E26" s="50"/>
      <c r="F26" s="21">
        <v>720636.7999999997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45844</v>
      </c>
      <c r="B27" s="20"/>
      <c r="C27" s="21">
        <v>9060176.1799999997</v>
      </c>
      <c r="D27" s="50"/>
      <c r="E27" s="50"/>
      <c r="F27" s="21">
        <v>1440743.0700000003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45851</v>
      </c>
      <c r="B28" s="20"/>
      <c r="C28" s="21">
        <v>6837215.7599999998</v>
      </c>
      <c r="D28" s="50"/>
      <c r="E28" s="50"/>
      <c r="F28" s="21">
        <v>506109.32999999984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45858</v>
      </c>
      <c r="B29" s="20"/>
      <c r="C29" s="21">
        <v>5606506.3500000006</v>
      </c>
      <c r="D29" s="50"/>
      <c r="E29" s="50"/>
      <c r="F29" s="21">
        <v>423596.96000000031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45865</v>
      </c>
      <c r="B30" s="20"/>
      <c r="C30" s="21">
        <v>12840656.85</v>
      </c>
      <c r="D30" s="50"/>
      <c r="E30" s="50"/>
      <c r="F30" s="21">
        <v>1142665.9099999997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45872</v>
      </c>
      <c r="B31" s="20"/>
      <c r="C31" s="21">
        <v>10060634.6</v>
      </c>
      <c r="D31" s="50"/>
      <c r="E31" s="50"/>
      <c r="F31" s="21">
        <v>1237317.1799999997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45879</v>
      </c>
      <c r="B32" s="20"/>
      <c r="C32" s="21">
        <v>8542928.4000000004</v>
      </c>
      <c r="D32" s="50"/>
      <c r="E32" s="50"/>
      <c r="F32" s="21">
        <v>839198.67999999993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45886</v>
      </c>
      <c r="B33" s="20"/>
      <c r="C33" s="21">
        <v>8876553.6500000004</v>
      </c>
      <c r="D33" s="50"/>
      <c r="E33" s="50"/>
      <c r="F33" s="21">
        <v>356810.03000000014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45893</v>
      </c>
      <c r="B34" s="20"/>
      <c r="C34" s="21">
        <v>7242770.1099999994</v>
      </c>
      <c r="D34" s="50"/>
      <c r="E34" s="50"/>
      <c r="F34" s="21">
        <v>892349.83000000007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45900</v>
      </c>
      <c r="B35" s="20"/>
      <c r="C35" s="21">
        <v>9827254.6699999981</v>
      </c>
      <c r="D35" s="50"/>
      <c r="E35" s="50"/>
      <c r="F35" s="21">
        <v>880055.55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45907</v>
      </c>
      <c r="B36" s="20"/>
      <c r="C36" s="21">
        <v>10529178.180000002</v>
      </c>
      <c r="D36" s="50"/>
      <c r="E36" s="50"/>
      <c r="F36" s="21">
        <v>500325.0400000005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45914</v>
      </c>
      <c r="B37" s="20"/>
      <c r="C37" s="21">
        <v>11668625.360000001</v>
      </c>
      <c r="D37" s="50"/>
      <c r="E37" s="50"/>
      <c r="F37" s="21">
        <v>706957.5199999999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45921</v>
      </c>
      <c r="B38" s="20"/>
      <c r="C38" s="21">
        <v>10726744.090000002</v>
      </c>
      <c r="D38" s="50"/>
      <c r="E38" s="50"/>
      <c r="F38" s="21">
        <v>731518.86000000057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45928</v>
      </c>
      <c r="B39" s="20"/>
      <c r="C39" s="21">
        <v>11153923.049999999</v>
      </c>
      <c r="D39" s="50"/>
      <c r="E39" s="50"/>
      <c r="F39" s="21">
        <v>851544.08000000007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45935</v>
      </c>
      <c r="B40" s="20"/>
      <c r="C40" s="21">
        <v>12968925.43</v>
      </c>
      <c r="D40" s="50"/>
      <c r="E40" s="50"/>
      <c r="F40" s="21">
        <v>269116.51999999909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45942</v>
      </c>
      <c r="B41" s="20"/>
      <c r="C41" s="21">
        <v>12499205.470000001</v>
      </c>
      <c r="D41" s="50"/>
      <c r="E41" s="50"/>
      <c r="F41" s="21">
        <v>1116371.7300000007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45949</v>
      </c>
      <c r="B42" s="20"/>
      <c r="C42" s="21">
        <v>13215290.150000002</v>
      </c>
      <c r="D42" s="50"/>
      <c r="E42" s="50"/>
      <c r="F42" s="21">
        <v>280743.69999999972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45956</v>
      </c>
      <c r="B43" s="20"/>
      <c r="C43" s="21">
        <v>15701145.790000001</v>
      </c>
      <c r="D43" s="50"/>
      <c r="E43" s="50"/>
      <c r="F43" s="21">
        <v>588072.5400000005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45963</v>
      </c>
      <c r="B44" s="20"/>
      <c r="C44" s="21">
        <v>15339755.619999999</v>
      </c>
      <c r="D44" s="50"/>
      <c r="E44" s="50"/>
      <c r="F44" s="21">
        <v>1145044.9799999993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45970</v>
      </c>
      <c r="B45" s="20"/>
      <c r="C45" s="21">
        <v>12721354.68</v>
      </c>
      <c r="D45" s="50"/>
      <c r="E45" s="50"/>
      <c r="F45" s="21">
        <v>821315.26000000024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45977</v>
      </c>
      <c r="B46" s="20"/>
      <c r="C46" s="21">
        <v>11640086.390000002</v>
      </c>
      <c r="D46" s="50"/>
      <c r="E46" s="50"/>
      <c r="F46" s="21">
        <v>1015090.9600000001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45984</v>
      </c>
      <c r="B47" s="20"/>
      <c r="C47" s="21">
        <v>13500261.82</v>
      </c>
      <c r="D47" s="50"/>
      <c r="E47" s="50"/>
      <c r="F47" s="21">
        <v>855235.52000000095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45991</v>
      </c>
      <c r="B48" s="20"/>
      <c r="C48" s="21">
        <v>12180558.25</v>
      </c>
      <c r="D48" s="50"/>
      <c r="E48" s="50"/>
      <c r="F48" s="21">
        <v>1235941.4399999995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45998</v>
      </c>
      <c r="B49" s="20"/>
      <c r="C49" s="21">
        <v>9845455.3599999994</v>
      </c>
      <c r="D49" s="50"/>
      <c r="E49" s="50"/>
      <c r="F49" s="21">
        <v>992715.41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46005</v>
      </c>
      <c r="B50" s="20"/>
      <c r="C50" s="21">
        <v>9216531.3499999996</v>
      </c>
      <c r="D50" s="50"/>
      <c r="E50" s="50"/>
      <c r="F50" s="21">
        <v>804951.46000000008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46012</v>
      </c>
      <c r="B51" s="20"/>
      <c r="C51" s="21">
        <v>10299230.279999999</v>
      </c>
      <c r="D51" s="50"/>
      <c r="E51" s="50"/>
      <c r="F51" s="21">
        <v>762882.49000000022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46019</v>
      </c>
      <c r="B52" s="20"/>
      <c r="C52" s="21">
        <v>9027348.0500000007</v>
      </c>
      <c r="D52" s="50"/>
      <c r="E52" s="50"/>
      <c r="F52" s="21">
        <v>565762.52000000037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46026</v>
      </c>
      <c r="B53" s="20"/>
      <c r="C53" s="21">
        <v>11179234.139999999</v>
      </c>
      <c r="D53" s="50"/>
      <c r="E53" s="50"/>
      <c r="F53" s="21">
        <v>1317524.0300000005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46033</v>
      </c>
      <c r="B54" s="20"/>
      <c r="C54" s="21">
        <v>11451013.199999999</v>
      </c>
      <c r="D54" s="50"/>
      <c r="E54" s="50"/>
      <c r="F54" s="21">
        <v>605887.83999999973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46040</v>
      </c>
      <c r="B55" s="20"/>
      <c r="C55" s="21">
        <v>11678407.24</v>
      </c>
      <c r="D55" s="50"/>
      <c r="E55" s="50"/>
      <c r="F55" s="21">
        <v>1524751.9700000004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46047</v>
      </c>
      <c r="B56" s="20"/>
      <c r="C56" s="21">
        <v>13611946.630000001</v>
      </c>
      <c r="D56" s="50"/>
      <c r="E56" s="50"/>
      <c r="F56" s="21">
        <v>662593.79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46054</v>
      </c>
      <c r="B57" s="20"/>
      <c r="C57" s="21">
        <v>12599447.699999999</v>
      </c>
      <c r="D57" s="50"/>
      <c r="E57" s="50"/>
      <c r="F57" s="21">
        <v>817552.21999999951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46061</v>
      </c>
      <c r="B58" s="20"/>
      <c r="C58" s="21">
        <v>16612386.709999997</v>
      </c>
      <c r="D58" s="50"/>
      <c r="E58" s="50"/>
      <c r="F58" s="21">
        <v>719123.39000000013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46068</v>
      </c>
      <c r="B59" s="20"/>
      <c r="C59" s="21">
        <v>9560355.9499999993</v>
      </c>
      <c r="D59" s="50"/>
      <c r="E59" s="50"/>
      <c r="F59" s="21">
        <v>733978.70000000007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46075</v>
      </c>
      <c r="B60" s="20"/>
      <c r="C60" s="21">
        <v>9230110.2999999989</v>
      </c>
      <c r="D60" s="50"/>
      <c r="E60" s="50"/>
      <c r="F60" s="21">
        <v>582709.42000000016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46082</v>
      </c>
      <c r="B61" s="20"/>
      <c r="C61" s="21">
        <v>10063893.050000001</v>
      </c>
      <c r="D61" s="50"/>
      <c r="E61" s="50"/>
      <c r="F61" s="21">
        <v>1023571.3999999997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46089</v>
      </c>
      <c r="B62" s="20"/>
      <c r="C62" s="21">
        <v>10012110.42</v>
      </c>
      <c r="D62" s="50"/>
      <c r="E62" s="50"/>
      <c r="F62" s="21">
        <v>893437.24999999953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46096</v>
      </c>
      <c r="B63" s="20"/>
      <c r="C63" s="21">
        <v>11290857.800000001</v>
      </c>
      <c r="D63" s="50"/>
      <c r="E63" s="50"/>
      <c r="F63" s="21">
        <v>836244.04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46103</v>
      </c>
      <c r="B64" s="20"/>
      <c r="C64" s="21">
        <v>9343715.4499999993</v>
      </c>
      <c r="D64" s="50"/>
      <c r="E64" s="50"/>
      <c r="F64" s="21">
        <v>862821.5499999997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579040040.52999985</v>
      </c>
      <c r="F67" s="23">
        <f>SUM(F13:F66)</f>
        <v>42701978.079999998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s="42" customFormat="1" ht="25.5" customHeight="1" x14ac:dyDescent="0.25">
      <c r="A70" s="55" t="s">
        <v>9</v>
      </c>
      <c r="B70" s="55"/>
      <c r="C70" s="55"/>
      <c r="D70" s="55"/>
      <c r="E70" s="55"/>
      <c r="F70" s="55"/>
      <c r="G70" s="55"/>
      <c r="H70" s="55"/>
      <c r="I70" s="55"/>
      <c r="J70" s="55"/>
    </row>
    <row r="71" spans="1:19" s="42" customFormat="1" ht="15" customHeight="1" x14ac:dyDescent="0.25">
      <c r="A71" s="55" t="s">
        <v>11</v>
      </c>
      <c r="B71" s="55"/>
      <c r="C71" s="55"/>
      <c r="D71" s="55"/>
      <c r="E71" s="55"/>
      <c r="F71" s="55"/>
      <c r="G71" s="55"/>
      <c r="H71" s="55"/>
      <c r="I71" s="55"/>
      <c r="J71" s="55"/>
    </row>
    <row r="72" spans="1:19" s="42" customFormat="1" ht="15" customHeight="1" x14ac:dyDescent="0.25">
      <c r="A72" s="55" t="s">
        <v>22</v>
      </c>
      <c r="B72" s="55"/>
      <c r="C72" s="55"/>
      <c r="D72" s="55"/>
      <c r="E72" s="55"/>
      <c r="F72" s="55"/>
      <c r="G72" s="55"/>
      <c r="H72" s="55"/>
      <c r="I72" s="55"/>
      <c r="J72" s="55"/>
    </row>
    <row r="73" spans="1:19" s="42" customFormat="1" ht="15" customHeight="1" x14ac:dyDescent="0.25">
      <c r="A73" s="52" t="s">
        <v>20</v>
      </c>
      <c r="B73" s="52"/>
      <c r="C73" s="52"/>
      <c r="D73" s="52"/>
      <c r="E73" s="52"/>
      <c r="F73" s="52"/>
      <c r="G73" s="52"/>
      <c r="H73" s="52"/>
      <c r="I73" s="52"/>
      <c r="J73" s="52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G88" s="22"/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/>
      <c r="I102"/>
      <c r="J102"/>
      <c r="K10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x14ac:dyDescent="0.25">
      <c r="H104" s="24"/>
      <c r="I104" s="22"/>
      <c r="L104"/>
      <c r="M104"/>
      <c r="N104"/>
      <c r="O104"/>
      <c r="P104"/>
      <c r="Q104"/>
      <c r="R104"/>
      <c r="S104"/>
    </row>
    <row r="105" spans="2:21" s="24" customFormat="1" x14ac:dyDescent="0.25">
      <c r="B105" s="6"/>
      <c r="C105" s="21"/>
      <c r="D105" s="21"/>
      <c r="E105" s="21"/>
      <c r="F105" s="21"/>
      <c r="G105" s="21"/>
      <c r="H105" s="21"/>
      <c r="I105" s="21"/>
      <c r="J105" s="22"/>
      <c r="K105" s="21"/>
      <c r="M105" s="22"/>
      <c r="N105" s="21"/>
      <c r="O105" s="21"/>
      <c r="P105" s="21"/>
      <c r="Q105" s="21"/>
      <c r="R105" s="21"/>
      <c r="S105" s="21"/>
    </row>
    <row r="106" spans="2:21" s="24" customFormat="1" x14ac:dyDescent="0.25">
      <c r="B106" s="6"/>
      <c r="C106" s="21"/>
      <c r="D106" s="21"/>
      <c r="E106" s="21"/>
      <c r="F106" s="21"/>
      <c r="G106" s="21"/>
      <c r="H106" s="26"/>
      <c r="I106" s="26"/>
      <c r="J106" s="27"/>
      <c r="K106" s="26"/>
      <c r="M106" s="22"/>
      <c r="N106" s="21"/>
      <c r="O106" s="21"/>
      <c r="P106" s="21"/>
      <c r="Q106" s="21"/>
      <c r="R106" s="21"/>
      <c r="S106" s="21"/>
    </row>
    <row r="107" spans="2:21" x14ac:dyDescent="0.25">
      <c r="I107" s="22"/>
      <c r="L107" s="21"/>
      <c r="M107" s="21"/>
      <c r="T107" s="21"/>
      <c r="U107" s="21"/>
    </row>
    <row r="108" spans="2:21" x14ac:dyDescent="0.25">
      <c r="I108" s="22"/>
      <c r="L108" s="26"/>
      <c r="M108" s="26"/>
      <c r="N108" s="26"/>
      <c r="O108" s="26"/>
      <c r="P108" s="26"/>
      <c r="Q108" s="26"/>
      <c r="R108" s="26"/>
      <c r="T108" s="21"/>
      <c r="U108" s="21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x14ac:dyDescent="0.25">
      <c r="I118" s="22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I207" s="22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  <row r="209" spans="2:24" s="21" customFormat="1" x14ac:dyDescent="0.25">
      <c r="B209" s="6"/>
      <c r="L209" s="22"/>
      <c r="M209" s="22"/>
      <c r="T209"/>
      <c r="U209"/>
      <c r="V209"/>
      <c r="W209"/>
      <c r="X209"/>
    </row>
  </sheetData>
  <mergeCells count="6">
    <mergeCell ref="A73:J73"/>
    <mergeCell ref="A6:J6"/>
    <mergeCell ref="B8:G8"/>
    <mergeCell ref="A70:J70"/>
    <mergeCell ref="A71:J71"/>
    <mergeCell ref="A72:J72"/>
  </mergeCells>
  <conditionalFormatting sqref="C21">
    <cfRule type="cellIs" dxfId="4" priority="1" operator="equal">
      <formula>0</formula>
    </cfRule>
  </conditionalFormatting>
  <printOptions horizontalCentered="1"/>
  <pageMargins left="0" right="0" top="0.5" bottom="0" header="0.3" footer="0.3"/>
  <pageSetup scale="6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9A7C1-1D53-4CAD-9FB6-8744C76928CB}">
  <sheetPr>
    <pageSetUpPr fitToPage="1"/>
  </sheetPr>
  <dimension ref="A1:X209"/>
  <sheetViews>
    <sheetView zoomScaleNormal="100" workbookViewId="0">
      <pane xSplit="2" ySplit="12" topLeftCell="C58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4"/>
      <c r="U3" s="4"/>
      <c r="V3" s="4"/>
      <c r="W3" s="4"/>
      <c r="X3" s="4"/>
    </row>
    <row r="4" spans="1:24" s="3" customFormat="1" ht="18" x14ac:dyDescent="0.25">
      <c r="B4" s="39"/>
      <c r="C4" s="39"/>
      <c r="D4" s="39"/>
      <c r="E4" s="39"/>
      <c r="F4" s="39"/>
      <c r="G4" s="39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53" t="s">
        <v>15</v>
      </c>
      <c r="B6" s="53"/>
      <c r="C6" s="53"/>
      <c r="D6" s="53"/>
      <c r="E6" s="53"/>
      <c r="F6" s="53"/>
      <c r="G6" s="53"/>
      <c r="H6" s="53"/>
      <c r="I6" s="53"/>
      <c r="J6" s="53"/>
      <c r="K6" s="40"/>
      <c r="L6" s="40"/>
      <c r="M6" s="40"/>
      <c r="N6" s="40"/>
      <c r="O6" s="40"/>
      <c r="P6" s="40"/>
      <c r="Q6" s="40"/>
      <c r="R6" s="40"/>
      <c r="S6" s="40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54" t="s">
        <v>7</v>
      </c>
      <c r="C8" s="54"/>
      <c r="D8" s="54"/>
      <c r="E8" s="54"/>
      <c r="F8" s="54"/>
      <c r="G8" s="54"/>
    </row>
    <row r="9" spans="1:24" s="13" customFormat="1" ht="12.75" x14ac:dyDescent="0.2">
      <c r="B9" s="48"/>
      <c r="C9" s="48"/>
      <c r="D9" s="48"/>
      <c r="E9" s="48"/>
      <c r="F9" s="48"/>
      <c r="G9" s="48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45382</v>
      </c>
      <c r="B13" s="20"/>
      <c r="C13" s="47">
        <v>0</v>
      </c>
      <c r="F13" s="47">
        <v>0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45" si="0">A13+7</f>
        <v>45389</v>
      </c>
      <c r="B14" s="20"/>
      <c r="C14" s="47">
        <v>0</v>
      </c>
      <c r="F14" s="47">
        <v>0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45396</v>
      </c>
      <c r="B15" s="20"/>
      <c r="C15" s="47">
        <v>0</v>
      </c>
      <c r="F15" s="47">
        <v>0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45403</v>
      </c>
      <c r="B16" s="20"/>
      <c r="C16" s="47">
        <v>0</v>
      </c>
      <c r="F16" s="47">
        <v>0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45410</v>
      </c>
      <c r="B17" s="20"/>
      <c r="C17" s="47">
        <v>0</v>
      </c>
      <c r="F17" s="47">
        <v>0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45417</v>
      </c>
      <c r="B18" s="20"/>
      <c r="C18" s="47">
        <v>0</v>
      </c>
      <c r="F18" s="47">
        <v>0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45424</v>
      </c>
      <c r="B19" s="20"/>
      <c r="C19" s="47">
        <v>0</v>
      </c>
      <c r="F19" s="47">
        <v>0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45431</v>
      </c>
      <c r="B20" s="20"/>
      <c r="C20" s="47">
        <v>0</v>
      </c>
      <c r="F20" s="47">
        <v>0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45438</v>
      </c>
      <c r="B21" s="20"/>
      <c r="C21" s="47">
        <v>0</v>
      </c>
      <c r="F21" s="47">
        <v>0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45445</v>
      </c>
      <c r="B22" s="20"/>
      <c r="C22" s="47">
        <v>0</v>
      </c>
      <c r="F22" s="47">
        <v>0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45452</v>
      </c>
      <c r="B23" s="20"/>
      <c r="C23" s="47">
        <v>0</v>
      </c>
      <c r="F23" s="47">
        <v>0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45459</v>
      </c>
      <c r="B24" s="20"/>
      <c r="C24" s="47">
        <v>0</v>
      </c>
      <c r="F24" s="47">
        <v>0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45466</v>
      </c>
      <c r="B25" s="20"/>
      <c r="C25" s="47">
        <v>0</v>
      </c>
      <c r="F25" s="47">
        <v>0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45473</v>
      </c>
      <c r="B26" s="20"/>
      <c r="C26" s="47">
        <v>0</v>
      </c>
      <c r="F26" s="47">
        <v>0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45480</v>
      </c>
      <c r="B27" s="20"/>
      <c r="C27" s="47">
        <v>0</v>
      </c>
      <c r="F27" s="47">
        <v>0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45487</v>
      </c>
      <c r="B28" s="20"/>
      <c r="C28" s="47">
        <v>0</v>
      </c>
      <c r="F28" s="47">
        <v>0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45494</v>
      </c>
      <c r="B29" s="20"/>
      <c r="C29" s="47">
        <v>0</v>
      </c>
      <c r="F29" s="47">
        <v>0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45501</v>
      </c>
      <c r="B30" s="20"/>
      <c r="C30" s="47">
        <v>0</v>
      </c>
      <c r="F30" s="47">
        <v>0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45508</v>
      </c>
      <c r="B31" s="20"/>
      <c r="C31" s="47">
        <v>0</v>
      </c>
      <c r="F31" s="47">
        <v>0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45515</v>
      </c>
      <c r="B32" s="20"/>
      <c r="C32" s="47">
        <v>0</v>
      </c>
      <c r="F32" s="47">
        <v>0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45522</v>
      </c>
      <c r="B33" s="20"/>
      <c r="C33" s="47">
        <v>0</v>
      </c>
      <c r="F33" s="47">
        <v>0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45529</v>
      </c>
      <c r="B34" s="20"/>
      <c r="C34" s="47">
        <v>0</v>
      </c>
      <c r="F34" s="47">
        <v>0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45536</v>
      </c>
      <c r="B35" s="20"/>
      <c r="C35" s="47">
        <v>0</v>
      </c>
      <c r="F35" s="47">
        <v>0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45543</v>
      </c>
      <c r="B36" s="20"/>
      <c r="C36" s="47">
        <v>0</v>
      </c>
      <c r="F36" s="47">
        <v>0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45550</v>
      </c>
      <c r="B37" s="20"/>
      <c r="C37" s="47">
        <v>0</v>
      </c>
      <c r="F37" s="47">
        <v>0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45557</v>
      </c>
      <c r="B38" s="20"/>
      <c r="C38" s="47">
        <v>0</v>
      </c>
      <c r="F38" s="47">
        <v>0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45564</v>
      </c>
      <c r="B39" s="20"/>
      <c r="C39" s="21">
        <v>3044164.19</v>
      </c>
      <c r="F39" s="21">
        <v>165672.84999999998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45571</v>
      </c>
      <c r="B40" s="20"/>
      <c r="C40" s="21">
        <v>9092643.959999999</v>
      </c>
      <c r="F40" s="21">
        <v>1149939.73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45578</v>
      </c>
      <c r="B41" s="20"/>
      <c r="C41" s="21">
        <v>8670442.8800000008</v>
      </c>
      <c r="F41" s="21">
        <v>189740.78000000038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45585</v>
      </c>
      <c r="B42" s="20"/>
      <c r="C42" s="21">
        <v>8149077.5899999999</v>
      </c>
      <c r="F42" s="21">
        <v>537911.09000000008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45592</v>
      </c>
      <c r="B43" s="20"/>
      <c r="C43" s="21">
        <v>11442338.680000002</v>
      </c>
      <c r="F43" s="21">
        <v>727703.07000000053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45599</v>
      </c>
      <c r="B44" s="20"/>
      <c r="C44" s="21">
        <v>9121403.4900000002</v>
      </c>
      <c r="F44" s="21">
        <v>412543.0299999998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45606</v>
      </c>
      <c r="B45" s="20"/>
      <c r="C45" s="21">
        <v>9616542.1300000008</v>
      </c>
      <c r="F45" s="21">
        <v>1447376.18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ref="A46:A64" si="1">A45+7</f>
        <v>45613</v>
      </c>
      <c r="B46" s="20"/>
      <c r="C46" s="21">
        <v>8432257.8300000001</v>
      </c>
      <c r="F46" s="21">
        <v>776499.46999999986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1"/>
        <v>45620</v>
      </c>
      <c r="B47" s="20"/>
      <c r="C47" s="21">
        <v>8268344.1699999999</v>
      </c>
      <c r="F47" s="21">
        <v>532583.21000000043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1"/>
        <v>45627</v>
      </c>
      <c r="B48" s="20"/>
      <c r="C48" s="21">
        <v>9705170.9499999993</v>
      </c>
      <c r="F48" s="21">
        <v>394851.61999999988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1"/>
        <v>45634</v>
      </c>
      <c r="B49" s="20"/>
      <c r="C49" s="21">
        <v>7555173.4099999992</v>
      </c>
      <c r="F49" s="21">
        <v>315513.53000000003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1"/>
        <v>45641</v>
      </c>
      <c r="B50" s="20"/>
      <c r="C50" s="21">
        <v>6872187.8099999996</v>
      </c>
      <c r="F50" s="21">
        <v>461440.80999999982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1"/>
        <v>45648</v>
      </c>
      <c r="B51" s="20"/>
      <c r="C51" s="21">
        <v>20886200</v>
      </c>
      <c r="F51" s="21">
        <v>146756.21999999927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1"/>
        <v>45655</v>
      </c>
      <c r="B52" s="20"/>
      <c r="C52" s="21">
        <v>8858015.8000000007</v>
      </c>
      <c r="F52" s="21">
        <v>746232.55999999982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1"/>
        <v>45662</v>
      </c>
      <c r="B53" s="20"/>
      <c r="C53" s="21">
        <v>11078336.870000001</v>
      </c>
      <c r="F53" s="21">
        <v>8673.6000000000931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1"/>
        <v>45669</v>
      </c>
      <c r="B54" s="20"/>
      <c r="C54" s="21">
        <v>10643279.570000002</v>
      </c>
      <c r="F54" s="21">
        <v>1126953.1500000006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1"/>
        <v>45676</v>
      </c>
      <c r="B55" s="20"/>
      <c r="C55" s="21">
        <v>15916768.9</v>
      </c>
      <c r="F55" s="21">
        <v>686675.86999999953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1"/>
        <v>45683</v>
      </c>
      <c r="B56" s="20"/>
      <c r="C56" s="21">
        <v>13044958.68</v>
      </c>
      <c r="F56" s="21">
        <v>654031.82000000018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1"/>
        <v>45690</v>
      </c>
      <c r="B57" s="20"/>
      <c r="C57" s="21">
        <v>18107388.5</v>
      </c>
      <c r="F57" s="21">
        <v>768485.13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1"/>
        <v>45697</v>
      </c>
      <c r="B58" s="20"/>
      <c r="C58" s="21">
        <v>11838487.649999999</v>
      </c>
      <c r="F58" s="21">
        <v>1226431.2400000005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1"/>
        <v>45704</v>
      </c>
      <c r="B59" s="20"/>
      <c r="C59" s="21">
        <v>8925963.5</v>
      </c>
      <c r="F59" s="21">
        <v>658442.84000000043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1"/>
        <v>45711</v>
      </c>
      <c r="B60" s="20"/>
      <c r="C60" s="21">
        <v>8613897.8499999996</v>
      </c>
      <c r="F60" s="21">
        <v>840755.96999999962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1"/>
        <v>45718</v>
      </c>
      <c r="B61" s="20"/>
      <c r="C61" s="21">
        <v>10601380.950000001</v>
      </c>
      <c r="F61" s="21">
        <v>487091.4499999996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1"/>
        <v>45725</v>
      </c>
      <c r="B62" s="20"/>
      <c r="C62" s="21">
        <v>11510901.949999999</v>
      </c>
      <c r="F62" s="21">
        <v>1060690.7700000003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1"/>
        <v>45732</v>
      </c>
      <c r="B63" s="20"/>
      <c r="C63" s="21">
        <v>12755696.98</v>
      </c>
      <c r="F63" s="21">
        <v>780303.33999999939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1"/>
        <v>45739</v>
      </c>
      <c r="B64" s="20"/>
      <c r="C64" s="21">
        <v>14144549.970000001</v>
      </c>
      <c r="F64" s="21">
        <v>1748914.48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276895574.25999999</v>
      </c>
      <c r="F67" s="23">
        <f>SUM(F13:F66)</f>
        <v>18052213.809999999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s="42" customFormat="1" ht="25.5" customHeight="1" x14ac:dyDescent="0.25">
      <c r="A70" s="55" t="s">
        <v>9</v>
      </c>
      <c r="B70" s="55"/>
      <c r="C70" s="55"/>
      <c r="D70" s="55"/>
      <c r="E70" s="55"/>
      <c r="F70" s="55"/>
      <c r="G70" s="55"/>
      <c r="H70" s="55"/>
      <c r="I70" s="55"/>
      <c r="J70" s="55"/>
    </row>
    <row r="71" spans="1:19" s="42" customFormat="1" ht="15" customHeight="1" x14ac:dyDescent="0.25">
      <c r="A71" s="55" t="s">
        <v>11</v>
      </c>
      <c r="B71" s="55"/>
      <c r="C71" s="55"/>
      <c r="D71" s="55"/>
      <c r="E71" s="55"/>
      <c r="F71" s="55"/>
      <c r="G71" s="55"/>
      <c r="H71" s="55"/>
      <c r="I71" s="55"/>
      <c r="J71" s="55"/>
    </row>
    <row r="72" spans="1:19" s="42" customFormat="1" x14ac:dyDescent="0.25">
      <c r="A72" s="55" t="s">
        <v>18</v>
      </c>
      <c r="B72" s="55"/>
      <c r="C72" s="55"/>
      <c r="D72" s="55"/>
      <c r="E72" s="55"/>
      <c r="F72" s="55"/>
      <c r="G72" s="55"/>
      <c r="H72" s="55"/>
      <c r="I72" s="55"/>
      <c r="J72" s="55"/>
    </row>
    <row r="73" spans="1:19" s="42" customFormat="1" ht="15" customHeight="1" x14ac:dyDescent="0.25">
      <c r="A73" s="52" t="s">
        <v>16</v>
      </c>
      <c r="B73" s="52"/>
      <c r="C73" s="52"/>
      <c r="D73" s="52"/>
      <c r="E73" s="52"/>
      <c r="F73" s="52"/>
      <c r="G73" s="52"/>
      <c r="H73" s="52"/>
      <c r="I73" s="52"/>
      <c r="J73" s="52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G88" s="22"/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/>
      <c r="I102"/>
      <c r="J102"/>
      <c r="K10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x14ac:dyDescent="0.25">
      <c r="H104" s="24"/>
      <c r="I104" s="22"/>
      <c r="L104"/>
      <c r="M104"/>
      <c r="N104"/>
      <c r="O104"/>
      <c r="P104"/>
      <c r="Q104"/>
      <c r="R104"/>
      <c r="S104"/>
    </row>
    <row r="105" spans="2:21" s="24" customFormat="1" x14ac:dyDescent="0.25">
      <c r="B105" s="6"/>
      <c r="C105" s="21"/>
      <c r="D105" s="21"/>
      <c r="E105" s="21"/>
      <c r="F105" s="21"/>
      <c r="G105" s="21"/>
      <c r="H105" s="21"/>
      <c r="I105" s="21"/>
      <c r="J105" s="22"/>
      <c r="K105" s="21"/>
      <c r="M105" s="22"/>
      <c r="N105" s="21"/>
      <c r="O105" s="21"/>
      <c r="P105" s="21"/>
      <c r="Q105" s="21"/>
      <c r="R105" s="21"/>
      <c r="S105" s="21"/>
    </row>
    <row r="106" spans="2:21" s="24" customFormat="1" x14ac:dyDescent="0.25">
      <c r="B106" s="6"/>
      <c r="C106" s="21"/>
      <c r="D106" s="21"/>
      <c r="E106" s="21"/>
      <c r="F106" s="21"/>
      <c r="G106" s="21"/>
      <c r="H106" s="26"/>
      <c r="I106" s="26"/>
      <c r="J106" s="27"/>
      <c r="K106" s="26"/>
      <c r="M106" s="22"/>
      <c r="N106" s="21"/>
      <c r="O106" s="21"/>
      <c r="P106" s="21"/>
      <c r="Q106" s="21"/>
      <c r="R106" s="21"/>
      <c r="S106" s="21"/>
    </row>
    <row r="107" spans="2:21" x14ac:dyDescent="0.25">
      <c r="I107" s="22"/>
      <c r="L107" s="21"/>
      <c r="M107" s="21"/>
      <c r="T107" s="21"/>
      <c r="U107" s="21"/>
    </row>
    <row r="108" spans="2:21" x14ac:dyDescent="0.25">
      <c r="I108" s="22"/>
      <c r="L108" s="26"/>
      <c r="M108" s="26"/>
      <c r="N108" s="26"/>
      <c r="O108" s="26"/>
      <c r="P108" s="26"/>
      <c r="Q108" s="26"/>
      <c r="R108" s="26"/>
      <c r="T108" s="21"/>
      <c r="U108" s="21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x14ac:dyDescent="0.25">
      <c r="I118" s="22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I207" s="22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  <row r="209" spans="2:24" s="21" customFormat="1" x14ac:dyDescent="0.25">
      <c r="B209" s="6"/>
      <c r="L209" s="22"/>
      <c r="M209" s="22"/>
      <c r="T209"/>
      <c r="U209"/>
      <c r="V209"/>
      <c r="W209"/>
      <c r="X209"/>
    </row>
  </sheetData>
  <mergeCells count="6">
    <mergeCell ref="A6:J6"/>
    <mergeCell ref="B8:G8"/>
    <mergeCell ref="A70:J70"/>
    <mergeCell ref="A71:J71"/>
    <mergeCell ref="A73:J73"/>
    <mergeCell ref="A72:J72"/>
  </mergeCells>
  <printOptions horizontalCentered="1"/>
  <pageMargins left="0" right="0" top="0.5" bottom="0" header="0.3" footer="0.3"/>
  <pageSetup scale="6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2EA1A-C91C-483A-A4B6-7F79566BC823}">
  <sheetPr>
    <pageSetUpPr fitToPage="1"/>
  </sheetPr>
  <dimension ref="A1:X208"/>
  <sheetViews>
    <sheetView zoomScaleNormal="100" workbookViewId="0">
      <pane xSplit="2" ySplit="12" topLeftCell="C58" activePane="bottomRight" state="frozen"/>
      <selection activeCell="B33" sqref="B33"/>
      <selection pane="topRight" activeCell="B33" sqref="B33"/>
      <selection pane="bottomLeft" activeCell="B33" sqref="B33"/>
      <selection pane="bottomRight" activeCell="C39" sqref="C39:F39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4"/>
      <c r="U3" s="4"/>
      <c r="V3" s="4"/>
      <c r="W3" s="4"/>
      <c r="X3" s="4"/>
    </row>
    <row r="4" spans="1:24" s="3" customFormat="1" ht="18" x14ac:dyDescent="0.25">
      <c r="B4" s="39"/>
      <c r="C4" s="39"/>
      <c r="D4" s="39"/>
      <c r="E4" s="39"/>
      <c r="F4" s="39"/>
      <c r="G4" s="39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53" t="s">
        <v>15</v>
      </c>
      <c r="B6" s="53"/>
      <c r="C6" s="53"/>
      <c r="D6" s="53"/>
      <c r="E6" s="53"/>
      <c r="F6" s="53"/>
      <c r="G6" s="53"/>
      <c r="H6" s="53"/>
      <c r="I6" s="53"/>
      <c r="J6" s="53"/>
      <c r="K6" s="40"/>
      <c r="L6" s="40"/>
      <c r="M6" s="40"/>
      <c r="N6" s="40"/>
      <c r="O6" s="40"/>
      <c r="P6" s="40"/>
      <c r="Q6" s="40"/>
      <c r="R6" s="40"/>
      <c r="S6" s="40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54" t="s">
        <v>7</v>
      </c>
      <c r="C8" s="54"/>
      <c r="D8" s="54"/>
      <c r="E8" s="54"/>
      <c r="F8" s="54"/>
      <c r="G8" s="54"/>
    </row>
    <row r="9" spans="1:24" s="13" customFormat="1" ht="12.75" x14ac:dyDescent="0.2">
      <c r="B9" s="45"/>
      <c r="C9" s="45"/>
      <c r="D9" s="45"/>
      <c r="E9" s="45"/>
      <c r="F9" s="45"/>
      <c r="G9" s="45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45382</v>
      </c>
      <c r="B13" s="20"/>
      <c r="C13" s="21">
        <v>426190.49</v>
      </c>
      <c r="F13" s="21">
        <v>4617.6799999999348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45389</v>
      </c>
      <c r="B14" s="20"/>
      <c r="C14" s="21">
        <v>385194.72000000003</v>
      </c>
      <c r="F14" s="21">
        <v>14813.37000000001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45396</v>
      </c>
      <c r="B15" s="20"/>
      <c r="C15" s="21">
        <v>449464.06</v>
      </c>
      <c r="F15" s="21">
        <v>14917.060000000231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45403</v>
      </c>
      <c r="B16" s="20"/>
      <c r="C16" s="21">
        <v>431539.10999999993</v>
      </c>
      <c r="F16" s="21">
        <v>19129.340000000073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45410</v>
      </c>
      <c r="B17" s="20"/>
      <c r="C17" s="21">
        <v>503735.56000000006</v>
      </c>
      <c r="F17" s="21">
        <v>29164.990000000005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45417</v>
      </c>
      <c r="B18" s="20"/>
      <c r="C18" s="21">
        <v>432654.7</v>
      </c>
      <c r="F18" s="21">
        <v>12967.070000000036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45424</v>
      </c>
      <c r="B19" s="20"/>
      <c r="C19" s="21">
        <v>470366.88999999996</v>
      </c>
      <c r="F19" s="21">
        <v>28326.629999999997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45431</v>
      </c>
      <c r="B20" s="20"/>
      <c r="C20" s="21">
        <v>415523.4</v>
      </c>
      <c r="F20" s="21">
        <v>12248.970000000125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45438</v>
      </c>
      <c r="B21" s="20"/>
      <c r="C21" s="21">
        <v>436262.63000000006</v>
      </c>
      <c r="F21" s="21">
        <v>12233.200000000084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45445</v>
      </c>
      <c r="B22" s="20"/>
      <c r="C22" s="21">
        <v>410220.68000000005</v>
      </c>
      <c r="F22" s="21">
        <v>1714.9500000000771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45452</v>
      </c>
      <c r="B23" s="20"/>
      <c r="C23" s="21">
        <v>324951.37</v>
      </c>
      <c r="F23" s="21">
        <v>11709.400000000038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45459</v>
      </c>
      <c r="B24" s="20"/>
      <c r="C24" s="21">
        <v>340621.79000000004</v>
      </c>
      <c r="F24" s="21">
        <v>17987.510000000115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45466</v>
      </c>
      <c r="B25" s="20"/>
      <c r="C25" s="21">
        <v>357857.01</v>
      </c>
      <c r="F25" s="21">
        <v>30148.200000000004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45473</v>
      </c>
      <c r="B26" s="20"/>
      <c r="C26" s="21">
        <v>371079.19</v>
      </c>
      <c r="F26" s="21">
        <v>20302.270000000055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45480</v>
      </c>
      <c r="B27" s="20"/>
      <c r="C27" s="21">
        <v>368739.14</v>
      </c>
      <c r="F27" s="21">
        <v>21361.54000000003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45487</v>
      </c>
      <c r="B28" s="20"/>
      <c r="C28" s="21">
        <v>284062.45999999996</v>
      </c>
      <c r="F28" s="21">
        <v>11551.200000000114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45494</v>
      </c>
      <c r="B29" s="20"/>
      <c r="C29" s="21">
        <v>112792.04999999999</v>
      </c>
      <c r="F29" s="21">
        <v>14974.669999999986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45501</v>
      </c>
      <c r="B30" s="20"/>
      <c r="C30" s="21">
        <v>171331.85</v>
      </c>
      <c r="F30" s="21">
        <v>3334.1799999999985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45508</v>
      </c>
      <c r="B31" s="20"/>
      <c r="C31" s="47">
        <v>0</v>
      </c>
      <c r="D31" s="46"/>
      <c r="E31" s="46"/>
      <c r="F31" s="47">
        <v>0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45515</v>
      </c>
      <c r="B32" s="20"/>
      <c r="C32" s="47">
        <v>0</v>
      </c>
      <c r="D32" s="46"/>
      <c r="E32" s="46"/>
      <c r="F32" s="47">
        <v>0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45522</v>
      </c>
      <c r="B33" s="20"/>
      <c r="C33" s="47">
        <v>0</v>
      </c>
      <c r="D33" s="46"/>
      <c r="E33" s="46"/>
      <c r="F33" s="47">
        <v>0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45529</v>
      </c>
      <c r="B34" s="20"/>
      <c r="C34" s="47">
        <v>0</v>
      </c>
      <c r="D34" s="46"/>
      <c r="E34" s="46"/>
      <c r="F34" s="47">
        <v>0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45536</v>
      </c>
      <c r="B35" s="20"/>
      <c r="C35" s="47">
        <v>0</v>
      </c>
      <c r="D35" s="46"/>
      <c r="E35" s="46"/>
      <c r="F35" s="47">
        <v>0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45543</v>
      </c>
      <c r="B36" s="20"/>
      <c r="C36" s="47">
        <v>0</v>
      </c>
      <c r="D36" s="46"/>
      <c r="E36" s="46"/>
      <c r="F36" s="47">
        <v>0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45550</v>
      </c>
      <c r="B37" s="20"/>
      <c r="C37" s="47">
        <v>0</v>
      </c>
      <c r="D37" s="46"/>
      <c r="E37" s="46"/>
      <c r="F37" s="47">
        <v>0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45557</v>
      </c>
      <c r="B38" s="20"/>
      <c r="C38" s="47">
        <v>0</v>
      </c>
      <c r="F38" s="47">
        <v>0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45564</v>
      </c>
      <c r="B39" s="20"/>
      <c r="C39" s="47">
        <v>0</v>
      </c>
      <c r="F39" s="47">
        <v>0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45571</v>
      </c>
      <c r="B40" s="20"/>
      <c r="C40" s="47">
        <v>0</v>
      </c>
      <c r="F40" s="47">
        <v>0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45578</v>
      </c>
      <c r="B41" s="20"/>
      <c r="C41" s="47">
        <v>0</v>
      </c>
      <c r="F41" s="47">
        <v>0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45585</v>
      </c>
      <c r="B42" s="20"/>
      <c r="C42" s="47">
        <v>0</v>
      </c>
      <c r="F42" s="47">
        <v>0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45592</v>
      </c>
      <c r="B43" s="20"/>
      <c r="C43" s="47">
        <v>0</v>
      </c>
      <c r="F43" s="47">
        <v>0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45599</v>
      </c>
      <c r="B44" s="20"/>
      <c r="C44" s="47">
        <v>0</v>
      </c>
      <c r="F44" s="47">
        <v>0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45606</v>
      </c>
      <c r="B45" s="20"/>
      <c r="C45" s="47">
        <v>0</v>
      </c>
      <c r="F45" s="47">
        <v>0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45613</v>
      </c>
      <c r="B46" s="20"/>
      <c r="C46" s="47">
        <v>0</v>
      </c>
      <c r="F46" s="47">
        <v>0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45620</v>
      </c>
      <c r="B47" s="20"/>
      <c r="C47" s="47">
        <v>0</v>
      </c>
      <c r="F47" s="47">
        <v>0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45627</v>
      </c>
      <c r="B48" s="20"/>
      <c r="C48" s="47">
        <v>0</v>
      </c>
      <c r="F48" s="47">
        <v>0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45634</v>
      </c>
      <c r="B49" s="20"/>
      <c r="C49" s="47">
        <v>0</v>
      </c>
      <c r="F49" s="47">
        <v>0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45641</v>
      </c>
      <c r="B50" s="20"/>
      <c r="C50" s="47">
        <v>0</v>
      </c>
      <c r="F50" s="47">
        <v>0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45648</v>
      </c>
      <c r="B51" s="20"/>
      <c r="C51" s="47">
        <v>0</v>
      </c>
      <c r="F51" s="47">
        <v>0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45655</v>
      </c>
      <c r="B52" s="20"/>
      <c r="C52" s="47">
        <v>0</v>
      </c>
      <c r="F52" s="47">
        <v>0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45662</v>
      </c>
      <c r="B53" s="20"/>
      <c r="C53" s="47">
        <v>0</v>
      </c>
      <c r="F53" s="47">
        <v>0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45669</v>
      </c>
      <c r="B54" s="20"/>
      <c r="C54" s="47">
        <v>0</v>
      </c>
      <c r="F54" s="47">
        <v>0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45676</v>
      </c>
      <c r="B55" s="20"/>
      <c r="C55" s="47">
        <v>0</v>
      </c>
      <c r="F55" s="47">
        <v>0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45683</v>
      </c>
      <c r="B56" s="20"/>
      <c r="C56" s="47">
        <v>0</v>
      </c>
      <c r="F56" s="47">
        <v>0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45690</v>
      </c>
      <c r="B57" s="20"/>
      <c r="C57" s="47">
        <v>0</v>
      </c>
      <c r="F57" s="47">
        <v>0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45697</v>
      </c>
      <c r="B58" s="20"/>
      <c r="C58" s="47">
        <v>0</v>
      </c>
      <c r="F58" s="47">
        <v>0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45704</v>
      </c>
      <c r="B59" s="20"/>
      <c r="C59" s="47">
        <v>0</v>
      </c>
      <c r="F59" s="47">
        <v>0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45711</v>
      </c>
      <c r="B60" s="20"/>
      <c r="C60" s="47">
        <v>0</v>
      </c>
      <c r="F60" s="47">
        <v>0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45718</v>
      </c>
      <c r="B61" s="20"/>
      <c r="C61" s="47">
        <v>0</v>
      </c>
      <c r="F61" s="47">
        <v>0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45725</v>
      </c>
      <c r="B62" s="20"/>
      <c r="C62" s="47">
        <v>0</v>
      </c>
      <c r="F62" s="47">
        <v>0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45732</v>
      </c>
      <c r="B63" s="20"/>
      <c r="C63" s="47">
        <v>0</v>
      </c>
      <c r="F63" s="47">
        <v>0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45739</v>
      </c>
      <c r="B64" s="20"/>
      <c r="C64" s="47">
        <v>0</v>
      </c>
      <c r="F64" s="47">
        <v>0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6692587.0999999996</v>
      </c>
      <c r="F67" s="23">
        <f>SUM(F13:F66)</f>
        <v>281502.23000000085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s="42" customFormat="1" ht="25.5" customHeight="1" x14ac:dyDescent="0.25">
      <c r="A70" s="55" t="s">
        <v>9</v>
      </c>
      <c r="B70" s="55"/>
      <c r="C70" s="55"/>
      <c r="D70" s="55"/>
      <c r="E70" s="55"/>
      <c r="F70" s="55"/>
      <c r="G70" s="55"/>
      <c r="H70" s="55"/>
      <c r="I70" s="55"/>
      <c r="J70" s="55"/>
    </row>
    <row r="71" spans="1:19" s="42" customFormat="1" ht="15" customHeight="1" x14ac:dyDescent="0.25">
      <c r="A71" s="55" t="s">
        <v>11</v>
      </c>
      <c r="B71" s="55"/>
      <c r="C71" s="55"/>
      <c r="D71" s="55"/>
      <c r="E71" s="55"/>
      <c r="F71" s="55"/>
      <c r="G71" s="55"/>
      <c r="H71" s="55"/>
      <c r="I71" s="55"/>
      <c r="J71" s="55"/>
    </row>
    <row r="72" spans="1:19" s="42" customFormat="1" x14ac:dyDescent="0.25">
      <c r="A72" s="55" t="s">
        <v>17</v>
      </c>
      <c r="B72" s="55"/>
      <c r="C72" s="55"/>
      <c r="D72" s="55"/>
      <c r="E72" s="55"/>
      <c r="F72" s="55"/>
      <c r="G72" s="55"/>
      <c r="H72" s="55"/>
      <c r="I72" s="55"/>
      <c r="J72" s="55"/>
    </row>
    <row r="73" spans="1:19" s="42" customFormat="1" ht="15" customHeight="1" x14ac:dyDescent="0.25">
      <c r="A73" s="52" t="s">
        <v>10</v>
      </c>
      <c r="B73" s="52"/>
      <c r="C73" s="52"/>
      <c r="D73" s="52"/>
      <c r="E73" s="52"/>
      <c r="F73" s="52"/>
      <c r="G73" s="52"/>
      <c r="H73" s="52"/>
      <c r="I73" s="52"/>
      <c r="J73" s="52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6">
    <mergeCell ref="A73:J73"/>
    <mergeCell ref="A72:J72"/>
    <mergeCell ref="A6:J6"/>
    <mergeCell ref="B8:G8"/>
    <mergeCell ref="A70:J70"/>
    <mergeCell ref="A71:J71"/>
  </mergeCells>
  <printOptions horizontalCentered="1"/>
  <pageMargins left="0" right="0" top="0.5" bottom="0" header="0.3" footer="0.3"/>
  <pageSetup scale="6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76679-173A-4B9E-981F-196C017056C7}">
  <sheetPr>
    <pageSetUpPr fitToPage="1"/>
  </sheetPr>
  <dimension ref="A1:X208"/>
  <sheetViews>
    <sheetView zoomScaleNormal="100" workbookViewId="0">
      <pane xSplit="2" ySplit="12" topLeftCell="C55" activePane="bottomRight" state="frozen"/>
      <selection activeCell="B33" sqref="B33"/>
      <selection pane="topRight" activeCell="B33" sqref="B33"/>
      <selection pane="bottomLeft" activeCell="B33" sqref="B33"/>
      <selection pane="bottomRight" activeCell="A72" sqref="A72:J72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4"/>
      <c r="U3" s="4"/>
      <c r="V3" s="4"/>
      <c r="W3" s="4"/>
      <c r="X3" s="4"/>
    </row>
    <row r="4" spans="1:24" s="3" customFormat="1" ht="18" x14ac:dyDescent="0.25">
      <c r="B4" s="39"/>
      <c r="C4" s="39"/>
      <c r="D4" s="39"/>
      <c r="E4" s="39"/>
      <c r="F4" s="39"/>
      <c r="G4" s="39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53" t="s">
        <v>14</v>
      </c>
      <c r="B6" s="53"/>
      <c r="C6" s="53"/>
      <c r="D6" s="53"/>
      <c r="E6" s="53"/>
      <c r="F6" s="53"/>
      <c r="G6" s="53"/>
      <c r="H6" s="53"/>
      <c r="I6" s="53"/>
      <c r="J6" s="53"/>
      <c r="K6" s="40"/>
      <c r="L6" s="40"/>
      <c r="M6" s="40"/>
      <c r="N6" s="40"/>
      <c r="O6" s="40"/>
      <c r="P6" s="40"/>
      <c r="Q6" s="40"/>
      <c r="R6" s="40"/>
      <c r="S6" s="40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54" t="s">
        <v>7</v>
      </c>
      <c r="C8" s="54"/>
      <c r="D8" s="54"/>
      <c r="E8" s="54"/>
      <c r="F8" s="54"/>
      <c r="G8" s="54"/>
    </row>
    <row r="9" spans="1:24" s="13" customFormat="1" ht="12.75" x14ac:dyDescent="0.2">
      <c r="B9" s="44"/>
      <c r="C9" s="44"/>
      <c r="D9" s="44"/>
      <c r="E9" s="44"/>
      <c r="F9" s="44"/>
      <c r="G9" s="44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45018</v>
      </c>
      <c r="B13" s="20"/>
      <c r="C13" s="21">
        <v>1587357.97</v>
      </c>
      <c r="F13" s="21">
        <v>143183.99999999994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45025</v>
      </c>
      <c r="B14" s="20"/>
      <c r="C14" s="21">
        <v>1920223.3799999994</v>
      </c>
      <c r="F14" s="43">
        <v>-26861.710000000399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45032</v>
      </c>
      <c r="B15" s="20"/>
      <c r="C15" s="21">
        <v>2111624.1100000003</v>
      </c>
      <c r="F15" s="43">
        <v>60753.38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45039</v>
      </c>
      <c r="B16" s="20"/>
      <c r="C16" s="21">
        <v>2540496.77</v>
      </c>
      <c r="F16" s="43">
        <v>283952.96999999997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45046</v>
      </c>
      <c r="B17" s="20"/>
      <c r="C17" s="21">
        <v>2606843.9199999995</v>
      </c>
      <c r="E17" s="43"/>
      <c r="F17" s="43">
        <v>172082.69999999925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45053</v>
      </c>
      <c r="B18" s="20"/>
      <c r="C18" s="21">
        <v>2150371.31</v>
      </c>
      <c r="E18" s="43"/>
      <c r="F18" s="43">
        <v>197131.67000000013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45060</v>
      </c>
      <c r="B19" s="20"/>
      <c r="C19" s="21">
        <v>1819981.5499999998</v>
      </c>
      <c r="E19" s="43"/>
      <c r="F19" s="43">
        <v>144324.23000000013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45067</v>
      </c>
      <c r="B20" s="20"/>
      <c r="C20" s="21">
        <v>1675038.59</v>
      </c>
      <c r="E20" s="43"/>
      <c r="F20" s="43">
        <v>85225.289999999964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45074</v>
      </c>
      <c r="B21" s="20"/>
      <c r="C21" s="21">
        <v>1500815.5699999998</v>
      </c>
      <c r="E21" s="43"/>
      <c r="F21" s="43">
        <v>65296.22999999985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45081</v>
      </c>
      <c r="B22" s="20"/>
      <c r="C22" s="21">
        <v>1569289.2999999998</v>
      </c>
      <c r="E22" s="43"/>
      <c r="F22" s="43">
        <v>-64794.410000000498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45088</v>
      </c>
      <c r="B23" s="20"/>
      <c r="C23" s="21">
        <v>1471038.9799999997</v>
      </c>
      <c r="E23" s="43"/>
      <c r="F23" s="43">
        <v>105888.60999999977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45095</v>
      </c>
      <c r="B24" s="20"/>
      <c r="C24" s="21">
        <v>1686526.8599999999</v>
      </c>
      <c r="E24" s="43"/>
      <c r="F24" s="43">
        <v>68011.379999999859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45102</v>
      </c>
      <c r="B25" s="20"/>
      <c r="C25" s="21">
        <v>1803033.7499999995</v>
      </c>
      <c r="E25" s="43"/>
      <c r="F25" s="43">
        <v>119275.31000000017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45109</v>
      </c>
      <c r="B26" s="20"/>
      <c r="C26" s="21">
        <v>1605288.71</v>
      </c>
      <c r="E26" s="43"/>
      <c r="F26" s="43">
        <v>229726.18999999997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45116</v>
      </c>
      <c r="B27" s="20"/>
      <c r="C27" s="21">
        <v>1789438.8399999999</v>
      </c>
      <c r="E27" s="43"/>
      <c r="F27" s="43">
        <v>112368.97000000003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45123</v>
      </c>
      <c r="B28" s="20"/>
      <c r="C28" s="21">
        <v>1145108.4099999999</v>
      </c>
      <c r="E28" s="43"/>
      <c r="F28" s="43">
        <v>73161.039999999673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45130</v>
      </c>
      <c r="B29" s="20"/>
      <c r="C29" s="21">
        <v>1429419.8699999999</v>
      </c>
      <c r="E29" s="43"/>
      <c r="F29" s="43">
        <v>126657.22999999989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45137</v>
      </c>
      <c r="B30" s="20"/>
      <c r="C30" s="21">
        <v>1663139.1900000002</v>
      </c>
      <c r="E30" s="43"/>
      <c r="F30" s="43">
        <v>137295.97999999975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45144</v>
      </c>
      <c r="B31" s="20"/>
      <c r="C31" s="21">
        <v>1903462.98</v>
      </c>
      <c r="E31" s="43"/>
      <c r="F31" s="43">
        <v>169406.87999999992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45151</v>
      </c>
      <c r="B32" s="20"/>
      <c r="C32" s="21">
        <v>1967540.5099999998</v>
      </c>
      <c r="E32" s="43"/>
      <c r="F32" s="43">
        <v>59377.459999999963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45158</v>
      </c>
      <c r="B33" s="20"/>
      <c r="C33" s="21">
        <v>1943771.0699999998</v>
      </c>
      <c r="E33" s="43"/>
      <c r="F33" s="43">
        <v>237607.74999999959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45165</v>
      </c>
      <c r="B34" s="20"/>
      <c r="C34" s="21">
        <v>1867684.95</v>
      </c>
      <c r="E34" s="43"/>
      <c r="F34" s="43">
        <v>266415.56999999983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45172</v>
      </c>
      <c r="B35" s="20"/>
      <c r="C35" s="21">
        <v>2123676.9</v>
      </c>
      <c r="E35" s="43"/>
      <c r="F35" s="43">
        <v>-36727.290000000328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45179</v>
      </c>
      <c r="B36" s="20"/>
      <c r="C36" s="21">
        <v>2510881.3499999996</v>
      </c>
      <c r="E36" s="43"/>
      <c r="F36" s="43">
        <v>-221081.20000000056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45186</v>
      </c>
      <c r="B37" s="20"/>
      <c r="C37" s="21">
        <v>2511241.4000000004</v>
      </c>
      <c r="E37" s="43"/>
      <c r="F37" s="43">
        <v>203651.67000000019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45193</v>
      </c>
      <c r="B38" s="20"/>
      <c r="C38" s="21">
        <v>2515016.9299999997</v>
      </c>
      <c r="E38" s="43"/>
      <c r="F38" s="43">
        <v>171646.82999999996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45200</v>
      </c>
      <c r="B39" s="20"/>
      <c r="C39" s="21">
        <v>2862482.4499999993</v>
      </c>
      <c r="F39" s="21">
        <v>6423.2199999992445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45207</v>
      </c>
      <c r="B40" s="20"/>
      <c r="C40" s="21">
        <v>2733986.8299999996</v>
      </c>
      <c r="F40" s="21">
        <v>176552.09999999762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45214</v>
      </c>
      <c r="B41" s="20"/>
      <c r="C41" s="21">
        <v>2409323.09</v>
      </c>
      <c r="F41" s="21">
        <v>142428.25000000073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45221</v>
      </c>
      <c r="B42" s="20"/>
      <c r="C42" s="21">
        <v>3042626.3599999989</v>
      </c>
      <c r="F42" s="43">
        <v>-115097.17000000057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45228</v>
      </c>
      <c r="B43" s="20"/>
      <c r="C43" s="21">
        <v>2848459.8800000004</v>
      </c>
      <c r="F43" s="21">
        <v>123270.00000000052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45235</v>
      </c>
      <c r="B44" s="20"/>
      <c r="C44" s="21">
        <v>2599110.69</v>
      </c>
      <c r="F44" s="21">
        <v>90082.919999999402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45242</v>
      </c>
      <c r="B45" s="20"/>
      <c r="C45" s="21">
        <v>2231619.2599999998</v>
      </c>
      <c r="F45" s="43">
        <v>-88396.979999999603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45249</v>
      </c>
      <c r="B46" s="20"/>
      <c r="C46" s="21">
        <v>2859921.4099999997</v>
      </c>
      <c r="F46" s="43">
        <v>-166030.95999999958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45256</v>
      </c>
      <c r="B47" s="20"/>
      <c r="C47" s="21">
        <v>3105133.9299999997</v>
      </c>
      <c r="F47" s="43">
        <v>-74931.580000002199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45263</v>
      </c>
      <c r="B48" s="20"/>
      <c r="C48" s="21">
        <v>2303410.11</v>
      </c>
      <c r="F48" s="21">
        <v>106709.81999999992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45270</v>
      </c>
      <c r="B49" s="20"/>
      <c r="C49" s="21">
        <v>1880022.7700000003</v>
      </c>
      <c r="F49" s="21">
        <v>118107.76000000065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45277</v>
      </c>
      <c r="B50" s="20"/>
      <c r="C50" s="21">
        <v>2048047.8699999999</v>
      </c>
      <c r="F50" s="43">
        <v>-204995.66999999978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45284</v>
      </c>
      <c r="B51" s="20"/>
      <c r="C51" s="21">
        <v>1889153.4799999995</v>
      </c>
      <c r="F51" s="43">
        <v>-40308.210000000428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45291</v>
      </c>
      <c r="B52" s="20"/>
      <c r="C52" s="21">
        <v>2274751.2200000002</v>
      </c>
      <c r="F52" s="43">
        <v>-71176.87999999951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45298</v>
      </c>
      <c r="B53" s="20"/>
      <c r="C53" s="21">
        <v>2208949.0200000005</v>
      </c>
      <c r="F53" s="21">
        <v>82551.779999999824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45305</v>
      </c>
      <c r="B54" s="20"/>
      <c r="C54" s="21">
        <v>2100328.61</v>
      </c>
      <c r="F54" s="21">
        <v>51098.550000001211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45312</v>
      </c>
      <c r="B55" s="20"/>
      <c r="C55" s="21">
        <v>1938616.9099999997</v>
      </c>
      <c r="F55" s="21">
        <v>49178.939999999886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45319</v>
      </c>
      <c r="B56" s="20"/>
      <c r="C56" s="21">
        <v>1784324.7599999998</v>
      </c>
      <c r="F56" s="21">
        <v>61375.459999999817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45326</v>
      </c>
      <c r="B57" s="20"/>
      <c r="C57" s="21">
        <v>1943712.9900000002</v>
      </c>
      <c r="F57" s="21">
        <v>103748.3500000005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45333</v>
      </c>
      <c r="B58" s="20"/>
      <c r="C58" s="21">
        <v>1900782.4600000002</v>
      </c>
      <c r="F58" s="43">
        <v>-34203.139999999461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45340</v>
      </c>
      <c r="B59" s="20"/>
      <c r="C59" s="21">
        <v>1805865.33</v>
      </c>
      <c r="F59" s="21">
        <v>67484.39999999979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45347</v>
      </c>
      <c r="B60" s="20"/>
      <c r="C60" s="21">
        <v>1488554.28</v>
      </c>
      <c r="F60" s="21">
        <v>103241.41999999995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45354</v>
      </c>
      <c r="B61" s="20"/>
      <c r="C61" s="21">
        <v>1526088.24</v>
      </c>
      <c r="F61" s="21">
        <v>60076.830000000045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45361</v>
      </c>
      <c r="B62" s="20"/>
      <c r="C62" s="21">
        <v>1317273.5400000003</v>
      </c>
      <c r="F62" s="21">
        <v>18697.940000000293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45368</v>
      </c>
      <c r="B63" s="20"/>
      <c r="C63" s="21">
        <v>596577.21000000008</v>
      </c>
      <c r="F63" s="21">
        <v>38337.180000000073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45375</v>
      </c>
      <c r="B64" s="20"/>
      <c r="C64" s="21">
        <v>567522.29999999993</v>
      </c>
      <c r="F64" s="21">
        <v>37601.420000000056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103684958.16999997</v>
      </c>
      <c r="F67" s="23">
        <f>SUM(F13:F66)</f>
        <v>3524802.4799999949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s="42" customFormat="1" ht="25.5" customHeight="1" x14ac:dyDescent="0.25">
      <c r="A70" s="55" t="s">
        <v>9</v>
      </c>
      <c r="B70" s="55"/>
      <c r="C70" s="55"/>
      <c r="D70" s="55"/>
      <c r="E70" s="55"/>
      <c r="F70" s="55"/>
      <c r="G70" s="55"/>
      <c r="H70" s="55"/>
      <c r="I70" s="55"/>
      <c r="J70" s="55"/>
    </row>
    <row r="71" spans="1:19" s="42" customFormat="1" ht="15" customHeight="1" x14ac:dyDescent="0.25">
      <c r="A71" s="55" t="s">
        <v>11</v>
      </c>
      <c r="B71" s="55"/>
      <c r="C71" s="55"/>
      <c r="D71" s="55"/>
      <c r="E71" s="55"/>
      <c r="F71" s="55"/>
      <c r="G71" s="55"/>
      <c r="H71" s="55"/>
      <c r="I71" s="55"/>
      <c r="J71" s="55"/>
    </row>
    <row r="72" spans="1:19" s="42" customFormat="1" ht="15" customHeight="1" x14ac:dyDescent="0.25">
      <c r="A72" s="52" t="s">
        <v>10</v>
      </c>
      <c r="B72" s="52"/>
      <c r="C72" s="52"/>
      <c r="D72" s="52"/>
      <c r="E72" s="52"/>
      <c r="F72" s="52"/>
      <c r="G72" s="52"/>
      <c r="H72" s="52"/>
      <c r="I72" s="52"/>
      <c r="J72" s="5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conditionalFormatting sqref="C13:F25">
    <cfRule type="cellIs" dxfId="3" priority="5" operator="equal">
      <formula>0</formula>
    </cfRule>
  </conditionalFormatting>
  <printOptions horizontalCentered="1"/>
  <pageMargins left="0" right="0" top="0.5" bottom="0" header="0.3" footer="0.3"/>
  <pageSetup scale="7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3E78F-031C-4435-BDC3-7067FF729A08}">
  <sheetPr>
    <pageSetUpPr fitToPage="1"/>
  </sheetPr>
  <dimension ref="A1:X207"/>
  <sheetViews>
    <sheetView zoomScaleNormal="100" workbookViewId="0">
      <pane xSplit="2" ySplit="12" topLeftCell="C61" activePane="bottomRight" state="frozen"/>
      <selection activeCell="B33" sqref="B33"/>
      <selection pane="topRight" activeCell="B33" sqref="B33"/>
      <selection pane="bottomLeft" activeCell="B33" sqref="B33"/>
      <selection pane="bottomRight" activeCell="A71" sqref="A71:J71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4"/>
      <c r="U3" s="4"/>
      <c r="V3" s="4"/>
      <c r="W3" s="4"/>
      <c r="X3" s="4"/>
    </row>
    <row r="4" spans="1:24" s="3" customFormat="1" ht="18" x14ac:dyDescent="0.25">
      <c r="B4" s="39"/>
      <c r="C4" s="39"/>
      <c r="D4" s="39"/>
      <c r="E4" s="39"/>
      <c r="F4" s="39"/>
      <c r="G4" s="39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53" t="s">
        <v>13</v>
      </c>
      <c r="B6" s="53"/>
      <c r="C6" s="53"/>
      <c r="D6" s="53"/>
      <c r="E6" s="53"/>
      <c r="F6" s="53"/>
      <c r="G6" s="53"/>
      <c r="H6" s="53"/>
      <c r="I6" s="53"/>
      <c r="J6" s="53"/>
      <c r="K6" s="40"/>
      <c r="L6" s="40"/>
      <c r="M6" s="40"/>
      <c r="N6" s="40"/>
      <c r="O6" s="40"/>
      <c r="P6" s="40"/>
      <c r="Q6" s="40"/>
      <c r="R6" s="40"/>
      <c r="S6" s="40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54" t="s">
        <v>7</v>
      </c>
      <c r="C8" s="54"/>
      <c r="D8" s="54"/>
      <c r="E8" s="54"/>
      <c r="F8" s="54"/>
      <c r="G8" s="54"/>
    </row>
    <row r="9" spans="1:24" s="13" customFormat="1" ht="12.75" x14ac:dyDescent="0.2">
      <c r="B9" s="41"/>
      <c r="C9" s="41"/>
      <c r="D9" s="41"/>
      <c r="E9" s="41"/>
      <c r="F9" s="41"/>
      <c r="G9" s="41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44654</v>
      </c>
      <c r="B13" s="20"/>
      <c r="C13" s="21">
        <v>2213954.9099999997</v>
      </c>
      <c r="F13" s="21">
        <v>217035.49999999898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44661</v>
      </c>
      <c r="B14" s="20"/>
      <c r="C14" s="21">
        <v>1889788.04</v>
      </c>
      <c r="F14" s="21">
        <v>180857.04999999973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44668</v>
      </c>
      <c r="B15" s="20"/>
      <c r="C15" s="21">
        <v>2023913.9500000004</v>
      </c>
      <c r="F15" s="21">
        <v>92771.949999999633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44675</v>
      </c>
      <c r="B16" s="20"/>
      <c r="C16" s="21">
        <v>2307442.4999999995</v>
      </c>
      <c r="F16" s="43">
        <v>127273.36999999973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44682</v>
      </c>
      <c r="B17" s="20"/>
      <c r="C17" s="21">
        <v>2361701.8599999994</v>
      </c>
      <c r="E17" s="43"/>
      <c r="F17" s="43">
        <v>61319.309999999154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44689</v>
      </c>
      <c r="B18" s="20"/>
      <c r="C18" s="21">
        <v>2386678.0499999989</v>
      </c>
      <c r="E18" s="43"/>
      <c r="F18" s="43">
        <v>341315.81999999896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44696</v>
      </c>
      <c r="B19" s="20"/>
      <c r="C19" s="21">
        <v>2140266.6999999997</v>
      </c>
      <c r="E19" s="43"/>
      <c r="F19" s="43">
        <v>151599.80999999965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44703</v>
      </c>
      <c r="B20" s="20"/>
      <c r="C20" s="21">
        <v>2128405.7800000003</v>
      </c>
      <c r="E20" s="43"/>
      <c r="F20" s="43">
        <v>97587.040000000532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44710</v>
      </c>
      <c r="B21" s="20"/>
      <c r="C21" s="21">
        <v>2288059.11</v>
      </c>
      <c r="E21" s="43"/>
      <c r="F21" s="43">
        <v>117965.14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44717</v>
      </c>
      <c r="B22" s="20"/>
      <c r="C22" s="21">
        <v>1641456.6500000004</v>
      </c>
      <c r="E22" s="43"/>
      <c r="F22" s="43">
        <v>59750.490000000194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44724</v>
      </c>
      <c r="B23" s="20"/>
      <c r="C23" s="21">
        <v>1582546.91</v>
      </c>
      <c r="E23" s="43"/>
      <c r="F23" s="43">
        <v>177909.83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44731</v>
      </c>
      <c r="B24" s="20"/>
      <c r="C24" s="21">
        <v>1571145.05</v>
      </c>
      <c r="E24" s="43"/>
      <c r="F24" s="43">
        <v>-21806.799999999501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44738</v>
      </c>
      <c r="B25" s="20"/>
      <c r="C25" s="21">
        <v>1589466.62</v>
      </c>
      <c r="E25" s="43"/>
      <c r="F25" s="43">
        <v>44548.049999999639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44745</v>
      </c>
      <c r="B26" s="20"/>
      <c r="C26" s="21">
        <v>1600410.9100000001</v>
      </c>
      <c r="E26" s="43"/>
      <c r="F26" s="43">
        <v>179348.3699999995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44752</v>
      </c>
      <c r="B27" s="20"/>
      <c r="C27" s="21">
        <v>1274514.22</v>
      </c>
      <c r="E27" s="43"/>
      <c r="F27" s="43">
        <v>144683.7500000002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44759</v>
      </c>
      <c r="B28" s="20"/>
      <c r="C28" s="21">
        <v>1480488.9699999997</v>
      </c>
      <c r="E28" s="43"/>
      <c r="F28" s="43">
        <v>22899.039999999801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44766</v>
      </c>
      <c r="B29" s="20"/>
      <c r="C29" s="21">
        <v>1131806.5500000003</v>
      </c>
      <c r="E29" s="43"/>
      <c r="F29" s="43">
        <v>61310.719999999994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44773</v>
      </c>
      <c r="B30" s="20"/>
      <c r="C30" s="21">
        <v>1508157.5699999998</v>
      </c>
      <c r="E30" s="43"/>
      <c r="F30" s="43">
        <v>122182.69999999995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44780</v>
      </c>
      <c r="B31" s="20"/>
      <c r="C31" s="21">
        <v>1475361.5700000003</v>
      </c>
      <c r="E31" s="43"/>
      <c r="F31" s="43">
        <v>134628.96000000037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44787</v>
      </c>
      <c r="B32" s="20"/>
      <c r="C32" s="21">
        <v>1496821.7000000004</v>
      </c>
      <c r="E32" s="43"/>
      <c r="F32" s="43">
        <v>59340.310000000361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44794</v>
      </c>
      <c r="B33" s="20"/>
      <c r="C33" s="21">
        <v>1618152.5799999996</v>
      </c>
      <c r="E33" s="43"/>
      <c r="F33" s="43">
        <v>22602.740000000311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44801</v>
      </c>
      <c r="B34" s="20"/>
      <c r="C34" s="21">
        <v>1501889.8699999996</v>
      </c>
      <c r="E34" s="43"/>
      <c r="F34" s="43">
        <v>113337.20999999999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44808</v>
      </c>
      <c r="B35" s="20"/>
      <c r="C35" s="21">
        <v>2016651.8199999998</v>
      </c>
      <c r="E35" s="43"/>
      <c r="F35" s="43">
        <v>143687.56999999995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44815</v>
      </c>
      <c r="B36" s="20"/>
      <c r="C36" s="21">
        <v>2254457.3299999991</v>
      </c>
      <c r="E36" s="43"/>
      <c r="F36" s="43">
        <v>198975.72999999981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44822</v>
      </c>
      <c r="B37" s="20"/>
      <c r="C37" s="21">
        <v>2146545.29</v>
      </c>
      <c r="E37" s="43"/>
      <c r="F37" s="43">
        <v>116492.08999999994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44829</v>
      </c>
      <c r="B38" s="20"/>
      <c r="C38" s="21">
        <v>2311111.21</v>
      </c>
      <c r="E38" s="43"/>
      <c r="F38" s="43">
        <v>-35583.619999999995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44836</v>
      </c>
      <c r="B39" s="20"/>
      <c r="C39" s="21">
        <v>2127661.46</v>
      </c>
      <c r="F39" s="21">
        <v>129233.99999999977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44843</v>
      </c>
      <c r="B40" s="20"/>
      <c r="C40" s="21">
        <v>1847684.99</v>
      </c>
      <c r="F40" s="21">
        <v>141148.19999999978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44850</v>
      </c>
      <c r="B41" s="20"/>
      <c r="C41" s="21">
        <v>1919436.2199999997</v>
      </c>
      <c r="F41" s="21">
        <v>71787.930000000066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44857</v>
      </c>
      <c r="B42" s="20"/>
      <c r="C42" s="21">
        <v>2092544.3500000006</v>
      </c>
      <c r="F42" s="21">
        <v>156845.65000000066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44864</v>
      </c>
      <c r="B43" s="20"/>
      <c r="C43" s="21">
        <v>2015384.8499999994</v>
      </c>
      <c r="F43" s="21">
        <v>389437.25999999966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44871</v>
      </c>
      <c r="B44" s="20"/>
      <c r="C44" s="21">
        <v>2031406.97</v>
      </c>
      <c r="F44" s="21">
        <v>142271.88999999984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44878</v>
      </c>
      <c r="B45" s="20"/>
      <c r="C45" s="21">
        <v>2058045.4699999997</v>
      </c>
      <c r="F45" s="21">
        <v>434.83999999961816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44885</v>
      </c>
      <c r="B46" s="20"/>
      <c r="C46" s="21">
        <v>3343645.73</v>
      </c>
      <c r="F46" s="43">
        <v>-65021.050000000803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44892</v>
      </c>
      <c r="B47" s="20"/>
      <c r="C47" s="21">
        <v>3422825.1099999994</v>
      </c>
      <c r="F47" s="43">
        <v>-28374.749999999593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44899</v>
      </c>
      <c r="B48" s="20"/>
      <c r="C48" s="21">
        <v>2289796.65</v>
      </c>
      <c r="F48" s="21">
        <v>122494.03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44906</v>
      </c>
      <c r="B49" s="20"/>
      <c r="C49" s="21">
        <v>2241134.96</v>
      </c>
      <c r="F49" s="21">
        <v>49172.06000000058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44913</v>
      </c>
      <c r="B50" s="20"/>
      <c r="C50" s="21">
        <v>2278495.81</v>
      </c>
      <c r="F50" s="21">
        <v>99433.719999999274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44920</v>
      </c>
      <c r="B51" s="20"/>
      <c r="C51" s="21">
        <v>1749118.79</v>
      </c>
      <c r="F51" s="21">
        <v>90868.550000000309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44927</v>
      </c>
      <c r="B52" s="20"/>
      <c r="C52" s="21">
        <v>2187065.3199999994</v>
      </c>
      <c r="F52" s="43">
        <v>-72623.340000001364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44934</v>
      </c>
      <c r="B53" s="20"/>
      <c r="C53" s="21">
        <v>2341147.5599999996</v>
      </c>
      <c r="F53" s="21">
        <v>128186.27999999933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44941</v>
      </c>
      <c r="B54" s="20"/>
      <c r="C54" s="21">
        <v>2055369.4499999997</v>
      </c>
      <c r="F54" s="21">
        <v>115473.77999999936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44948</v>
      </c>
      <c r="B55" s="20"/>
      <c r="C55" s="21">
        <v>2906151.44</v>
      </c>
      <c r="F55" s="21">
        <v>107704.92000000004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44955</v>
      </c>
      <c r="B56" s="20"/>
      <c r="C56" s="21">
        <v>2249093.4799999995</v>
      </c>
      <c r="F56" s="21">
        <v>2957.409999999305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44962</v>
      </c>
      <c r="B57" s="20"/>
      <c r="C57" s="21">
        <v>2353207.1</v>
      </c>
      <c r="F57" s="21">
        <v>168128.84999999954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44969</v>
      </c>
      <c r="B58" s="20"/>
      <c r="C58" s="21">
        <v>2689831.97</v>
      </c>
      <c r="F58" s="21">
        <v>140027.57000000073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44976</v>
      </c>
      <c r="B59" s="20"/>
      <c r="C59" s="21">
        <v>2785154.9900000007</v>
      </c>
      <c r="F59" s="21">
        <v>127830.28000000049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44983</v>
      </c>
      <c r="B60" s="20"/>
      <c r="C60" s="21">
        <v>2397833.75</v>
      </c>
      <c r="F60" s="21">
        <v>145383.2699999997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44990</v>
      </c>
      <c r="B61" s="20"/>
      <c r="C61" s="21">
        <v>2392716.46</v>
      </c>
      <c r="F61" s="21">
        <v>88286.779999999679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44997</v>
      </c>
      <c r="B62" s="20"/>
      <c r="C62" s="21">
        <v>2694672</v>
      </c>
      <c r="F62" s="21">
        <v>274765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45004</v>
      </c>
      <c r="B63" s="20"/>
      <c r="C63" s="21">
        <v>3058486</v>
      </c>
      <c r="F63" s="21">
        <v>54867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45011</v>
      </c>
      <c r="B64" s="20"/>
      <c r="C64" s="21">
        <v>1923099.4000000001</v>
      </c>
      <c r="F64" s="21">
        <v>49619.899999999616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ht="15.75" thickBot="1" x14ac:dyDescent="0.3">
      <c r="B66" s="6" t="s">
        <v>1</v>
      </c>
      <c r="C66" s="23">
        <f>SUM(C13:C65)</f>
        <v>109392206</v>
      </c>
      <c r="F66" s="23">
        <f>SUM(F13:F65)</f>
        <v>5562372.1599999899</v>
      </c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Top="1" x14ac:dyDescent="0.25">
      <c r="C67" s="24"/>
      <c r="D67" s="24"/>
      <c r="E67" s="24"/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x14ac:dyDescent="0.25">
      <c r="A68" s="25" t="s">
        <v>5</v>
      </c>
      <c r="B68" s="25"/>
      <c r="C68" s="24"/>
      <c r="D68" s="24"/>
      <c r="E68" s="24"/>
      <c r="F68" s="24"/>
      <c r="G68" s="24"/>
      <c r="H68"/>
      <c r="I68"/>
      <c r="J68"/>
      <c r="K68"/>
      <c r="L68"/>
      <c r="M68"/>
      <c r="N68"/>
      <c r="O68"/>
      <c r="P68"/>
      <c r="Q68"/>
      <c r="R68"/>
      <c r="S68"/>
    </row>
    <row r="69" spans="1:19" s="42" customFormat="1" ht="25.5" customHeight="1" x14ac:dyDescent="0.25">
      <c r="A69" s="55" t="s">
        <v>9</v>
      </c>
      <c r="B69" s="55"/>
      <c r="C69" s="55"/>
      <c r="D69" s="55"/>
      <c r="E69" s="55"/>
      <c r="F69" s="55"/>
      <c r="G69" s="55"/>
      <c r="H69" s="55"/>
      <c r="I69" s="55"/>
      <c r="J69" s="55"/>
    </row>
    <row r="70" spans="1:19" s="42" customFormat="1" ht="15" customHeight="1" x14ac:dyDescent="0.25">
      <c r="A70" s="55" t="s">
        <v>11</v>
      </c>
      <c r="B70" s="55"/>
      <c r="C70" s="55"/>
      <c r="D70" s="55"/>
      <c r="E70" s="55"/>
      <c r="F70" s="55"/>
      <c r="G70" s="55"/>
      <c r="H70" s="55"/>
      <c r="I70" s="55"/>
      <c r="J70" s="55"/>
    </row>
    <row r="71" spans="1:19" s="42" customFormat="1" ht="15" customHeight="1" x14ac:dyDescent="0.25">
      <c r="A71" s="52" t="s">
        <v>10</v>
      </c>
      <c r="B71" s="52"/>
      <c r="C71" s="52"/>
      <c r="D71" s="52"/>
      <c r="E71" s="52"/>
      <c r="F71" s="52"/>
      <c r="G71" s="52"/>
      <c r="H71" s="52"/>
      <c r="I71" s="52"/>
      <c r="J71" s="52"/>
    </row>
    <row r="72" spans="1:19" x14ac:dyDescent="0.25">
      <c r="G72" s="22"/>
      <c r="H72"/>
      <c r="I72"/>
      <c r="J72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 s="24"/>
      <c r="I101" s="22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s="24" customFormat="1" x14ac:dyDescent="0.25">
      <c r="B103" s="6"/>
      <c r="C103" s="21"/>
      <c r="D103" s="21"/>
      <c r="E103" s="21"/>
      <c r="F103" s="21"/>
      <c r="G103" s="21"/>
      <c r="H103" s="21"/>
      <c r="I103" s="21"/>
      <c r="J103" s="22"/>
      <c r="K103" s="21"/>
      <c r="M103" s="22"/>
      <c r="N103" s="21"/>
      <c r="O103" s="21"/>
      <c r="P103" s="21"/>
      <c r="Q103" s="21"/>
      <c r="R103" s="21"/>
      <c r="S103" s="21"/>
    </row>
    <row r="104" spans="2:21" s="24" customFormat="1" x14ac:dyDescent="0.25">
      <c r="B104" s="6"/>
      <c r="C104" s="21"/>
      <c r="D104" s="21"/>
      <c r="E104" s="21"/>
      <c r="F104" s="21"/>
      <c r="G104" s="21"/>
      <c r="H104" s="26"/>
      <c r="I104" s="26"/>
      <c r="J104" s="27"/>
      <c r="K104" s="26"/>
      <c r="M104" s="22"/>
      <c r="N104" s="21"/>
      <c r="O104" s="21"/>
      <c r="P104" s="21"/>
      <c r="Q104" s="21"/>
      <c r="R104" s="21"/>
      <c r="S104" s="21"/>
    </row>
    <row r="105" spans="2:21" x14ac:dyDescent="0.25">
      <c r="I105" s="22"/>
      <c r="L105" s="21"/>
      <c r="M105" s="21"/>
      <c r="T105" s="21"/>
      <c r="U105" s="21"/>
    </row>
    <row r="106" spans="2:21" x14ac:dyDescent="0.25">
      <c r="I106" s="22"/>
      <c r="L106" s="26"/>
      <c r="M106" s="26"/>
      <c r="N106" s="26"/>
      <c r="O106" s="26"/>
      <c r="P106" s="26"/>
      <c r="Q106" s="26"/>
      <c r="R106" s="26"/>
      <c r="T106" s="21"/>
      <c r="U106" s="21"/>
    </row>
    <row r="107" spans="2:21" x14ac:dyDescent="0.25">
      <c r="I107" s="22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s="21" customFormat="1" x14ac:dyDescent="0.25">
      <c r="B117" s="6"/>
      <c r="I117" s="22"/>
      <c r="L117" s="22"/>
      <c r="M117" s="22"/>
      <c r="T117"/>
      <c r="U117"/>
      <c r="V117"/>
      <c r="W117"/>
      <c r="X117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</sheetData>
  <mergeCells count="5">
    <mergeCell ref="A71:J71"/>
    <mergeCell ref="A6:J6"/>
    <mergeCell ref="B8:G8"/>
    <mergeCell ref="A69:J69"/>
    <mergeCell ref="A70:J70"/>
  </mergeCells>
  <conditionalFormatting sqref="C13:E13 F13:F26 E14:E16 C14:D35 E17:F38">
    <cfRule type="cellIs" dxfId="2" priority="5" operator="equal">
      <formula>0</formula>
    </cfRule>
  </conditionalFormatting>
  <conditionalFormatting sqref="C36:F64">
    <cfRule type="cellIs" dxfId="1" priority="1" operator="equal">
      <formula>0</formula>
    </cfRule>
  </conditionalFormatting>
  <printOptions horizontalCentered="1"/>
  <pageMargins left="0" right="0" top="0.5" bottom="0" header="0.3" footer="0.3"/>
  <pageSetup scale="71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BF270-5860-46BC-AA8E-771DBAE500E2}">
  <dimension ref="A1:AB167"/>
  <sheetViews>
    <sheetView workbookViewId="0">
      <pane xSplit="1" ySplit="12" topLeftCell="B28" activePane="bottomRight" state="frozen"/>
      <selection activeCell="B33" sqref="B33"/>
      <selection pane="topRight" activeCell="B33" sqref="B33"/>
      <selection pane="bottomLeft" activeCell="B33" sqref="B33"/>
      <selection pane="bottomRight" activeCell="C13" sqref="C13"/>
    </sheetView>
  </sheetViews>
  <sheetFormatPr defaultRowHeight="15" x14ac:dyDescent="0.25"/>
  <cols>
    <col min="1" max="1" width="11.85546875" style="6" customWidth="1"/>
    <col min="2" max="2" width="15.140625" style="21" customWidth="1"/>
    <col min="3" max="3" width="6" style="21" customWidth="1"/>
    <col min="4" max="4" width="12.85546875" style="21" bestFit="1" customWidth="1"/>
    <col min="5" max="5" width="8.28515625" style="21" customWidth="1"/>
    <col min="6" max="6" width="8.140625" style="21" customWidth="1"/>
    <col min="7" max="7" width="2.5703125" style="21" customWidth="1"/>
    <col min="8" max="8" width="7.7109375" style="21" customWidth="1"/>
    <col min="9" max="9" width="12.85546875" style="21" customWidth="1"/>
    <col min="10" max="10" width="11.570312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8" ht="15.75" x14ac:dyDescent="0.25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2"/>
      <c r="U1" s="2"/>
      <c r="V1" s="2"/>
      <c r="W1" s="2"/>
      <c r="X1" s="2"/>
    </row>
    <row r="2" spans="1:28" s="3" customFormat="1" ht="15.75" x14ac:dyDescent="0.25"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2"/>
      <c r="U2" s="2"/>
      <c r="V2" s="2"/>
      <c r="W2" s="2"/>
      <c r="X2" s="2"/>
    </row>
    <row r="3" spans="1:28" s="3" customFormat="1" ht="14.25" customHeight="1" x14ac:dyDescent="0.25">
      <c r="A3" s="36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4"/>
      <c r="U3" s="4"/>
      <c r="V3" s="4"/>
      <c r="W3" s="4"/>
      <c r="X3" s="4"/>
    </row>
    <row r="4" spans="1:28" s="3" customFormat="1" ht="18" x14ac:dyDescent="0.25">
      <c r="A4" s="37"/>
      <c r="B4" s="37"/>
      <c r="C4" s="37"/>
      <c r="D4" s="37"/>
      <c r="E4" s="37"/>
      <c r="F4" s="37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8" s="3" customFormat="1" x14ac:dyDescent="0.25">
      <c r="A5" s="6"/>
      <c r="B5" s="7"/>
      <c r="C5" s="7"/>
      <c r="D5" s="8"/>
      <c r="E5" s="8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8" s="10" customFormat="1" ht="15" customHeight="1" x14ac:dyDescent="0.25">
      <c r="A6" s="57" t="s">
        <v>8</v>
      </c>
      <c r="B6" s="58"/>
      <c r="C6" s="58"/>
      <c r="D6" s="58"/>
      <c r="E6" s="59"/>
      <c r="F6" s="30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8"/>
      <c r="U6" s="28"/>
    </row>
    <row r="7" spans="1:28" s="3" customFormat="1" ht="9" customHeight="1" x14ac:dyDescent="0.25">
      <c r="A7" s="6"/>
      <c r="B7" s="7"/>
      <c r="C7" s="7"/>
      <c r="D7" s="8"/>
      <c r="E7" s="8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8" s="13" customFormat="1" ht="25.5" customHeight="1" x14ac:dyDescent="0.2">
      <c r="A8" s="56" t="s">
        <v>7</v>
      </c>
      <c r="B8" s="56"/>
      <c r="C8" s="56"/>
      <c r="D8" s="56"/>
      <c r="E8" s="56"/>
      <c r="F8" s="56"/>
    </row>
    <row r="9" spans="1:28" s="13" customFormat="1" ht="12.75" customHeight="1" x14ac:dyDescent="0.2">
      <c r="A9" s="38"/>
      <c r="B9" s="38"/>
      <c r="C9" s="38"/>
      <c r="D9" s="38"/>
      <c r="E9" s="38"/>
      <c r="F9" s="38"/>
    </row>
    <row r="10" spans="1:28" s="13" customFormat="1" ht="12.75" x14ac:dyDescent="0.2">
      <c r="A10" s="11"/>
      <c r="B10" s="15" t="s">
        <v>6</v>
      </c>
      <c r="C10" s="15"/>
      <c r="D10" s="15" t="s">
        <v>6</v>
      </c>
      <c r="E10" s="15"/>
      <c r="F10" s="12"/>
      <c r="G10" s="12"/>
    </row>
    <row r="11" spans="1:28" s="17" customFormat="1" ht="12.75" customHeight="1" x14ac:dyDescent="0.2">
      <c r="A11" s="16"/>
      <c r="B11" s="14" t="s">
        <v>0</v>
      </c>
      <c r="C11" s="14"/>
      <c r="D11" s="14" t="s">
        <v>0</v>
      </c>
      <c r="E11" s="14"/>
      <c r="F11" s="33"/>
      <c r="G11" s="33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</row>
    <row r="12" spans="1:28" s="17" customFormat="1" ht="12.75" customHeight="1" x14ac:dyDescent="0.2">
      <c r="A12" s="18" t="s">
        <v>2</v>
      </c>
      <c r="B12" s="19" t="s">
        <v>4</v>
      </c>
      <c r="C12" s="19"/>
      <c r="D12" s="19" t="s">
        <v>3</v>
      </c>
      <c r="E12" s="19"/>
      <c r="F12" s="33"/>
      <c r="G12" s="33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</row>
    <row r="13" spans="1:28" x14ac:dyDescent="0.25">
      <c r="A13" s="20">
        <v>44570</v>
      </c>
      <c r="E13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</row>
    <row r="14" spans="1:28" x14ac:dyDescent="0.25">
      <c r="A14" s="20">
        <f t="shared" ref="A14:A24" si="0">A13+7</f>
        <v>44577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</row>
    <row r="15" spans="1:28" x14ac:dyDescent="0.25">
      <c r="A15" s="20">
        <f t="shared" si="0"/>
        <v>44584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8" x14ac:dyDescent="0.25">
      <c r="A16" s="20">
        <f t="shared" si="0"/>
        <v>44591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44598</v>
      </c>
      <c r="B17" s="21">
        <v>251355.86000000002</v>
      </c>
      <c r="D17" s="21">
        <v>33656.790000000103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44605</v>
      </c>
      <c r="B18" s="21">
        <v>1101825.1499999997</v>
      </c>
      <c r="D18" s="21">
        <v>174061.55000000063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44612</v>
      </c>
      <c r="B19" s="21">
        <v>1508284.9299999997</v>
      </c>
      <c r="D19" s="21">
        <v>212059.08999999953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44619</v>
      </c>
      <c r="B20" s="21">
        <v>2000044.4399999995</v>
      </c>
      <c r="D20" s="21">
        <v>311265.46999999887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44626</v>
      </c>
      <c r="B21" s="21">
        <v>2346212.9800000004</v>
      </c>
      <c r="D21" s="21">
        <v>304816.03999999817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44633</v>
      </c>
      <c r="B22" s="21">
        <v>2357778.61</v>
      </c>
      <c r="D22" s="21">
        <v>391224.44999999821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44640</v>
      </c>
      <c r="B23" s="21">
        <v>2249686.0700000003</v>
      </c>
      <c r="D23" s="21">
        <v>223775.19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44647</v>
      </c>
      <c r="B24" s="21">
        <v>1973836.8399999999</v>
      </c>
      <c r="D24" s="21">
        <v>193592.14999999997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ht="15.75" thickBot="1" x14ac:dyDescent="0.3">
      <c r="A25" s="6" t="s">
        <v>1</v>
      </c>
      <c r="B25" s="23">
        <f>SUM(B13:B24)</f>
        <v>13789024.879999999</v>
      </c>
      <c r="C25" s="31"/>
      <c r="D25" s="23">
        <f>SUM(D13:D24)</f>
        <v>1844450.7299999953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ht="15.75" thickTop="1" x14ac:dyDescent="0.25">
      <c r="B26" s="24"/>
      <c r="C26" s="24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5" t="s">
        <v>5</v>
      </c>
      <c r="B27" s="24"/>
      <c r="C27" s="24"/>
      <c r="D27" s="24"/>
      <c r="E27" s="24"/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ht="53.25" customHeight="1" x14ac:dyDescent="0.25">
      <c r="A28" s="60" t="s">
        <v>9</v>
      </c>
      <c r="B28" s="60"/>
      <c r="C28" s="60"/>
      <c r="D28" s="60"/>
      <c r="E28" s="60"/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ht="26.25" customHeight="1" x14ac:dyDescent="0.25">
      <c r="A29" s="60" t="s">
        <v>11</v>
      </c>
      <c r="B29" s="60"/>
      <c r="C29" s="60"/>
      <c r="D29" s="60"/>
      <c r="E29" s="60"/>
      <c r="F29"/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ht="34.5" customHeight="1" x14ac:dyDescent="0.25">
      <c r="A30" s="61" t="s">
        <v>12</v>
      </c>
      <c r="B30" s="61"/>
      <c r="C30" s="61"/>
      <c r="D30" s="61"/>
      <c r="E30" s="61"/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52" t="s">
        <v>10</v>
      </c>
      <c r="B31" s="52"/>
      <c r="C31" s="52"/>
      <c r="D31" s="52"/>
      <c r="E31" s="52"/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E32" s="22"/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5:19" x14ac:dyDescent="0.25">
      <c r="E33" s="22"/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5:19" x14ac:dyDescent="0.25">
      <c r="E34" s="22"/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5:19" x14ac:dyDescent="0.25">
      <c r="E35" s="22"/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5:19" x14ac:dyDescent="0.25">
      <c r="E36" s="22"/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5:19" x14ac:dyDescent="0.25">
      <c r="E37" s="22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5:19" x14ac:dyDescent="0.25">
      <c r="E38" s="22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5:19" x14ac:dyDescent="0.25">
      <c r="E39" s="22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5:19" x14ac:dyDescent="0.25">
      <c r="E40" s="22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5:19" x14ac:dyDescent="0.25">
      <c r="E41" s="22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5:19" x14ac:dyDescent="0.25">
      <c r="E42" s="22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5:19" x14ac:dyDescent="0.25">
      <c r="E43" s="22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5:19" x14ac:dyDescent="0.25">
      <c r="E44" s="22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5:19" x14ac:dyDescent="0.25">
      <c r="E45" s="22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5:19" x14ac:dyDescent="0.25">
      <c r="E46" s="22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5:19" x14ac:dyDescent="0.25">
      <c r="E47" s="22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5:19" x14ac:dyDescent="0.25"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G61" s="24"/>
      <c r="H61" s="22"/>
      <c r="L61"/>
      <c r="M61"/>
      <c r="N61"/>
      <c r="O61"/>
      <c r="P61"/>
      <c r="Q61"/>
      <c r="R61"/>
      <c r="S61"/>
    </row>
    <row r="62" spans="1:19" x14ac:dyDescent="0.25">
      <c r="G62" s="24"/>
      <c r="H62" s="22"/>
      <c r="L62"/>
      <c r="M62"/>
      <c r="N62"/>
      <c r="O62"/>
      <c r="P62"/>
      <c r="Q62"/>
      <c r="R62"/>
      <c r="S62"/>
    </row>
    <row r="63" spans="1:19" s="24" customFormat="1" x14ac:dyDescent="0.25">
      <c r="A63" s="6"/>
      <c r="B63" s="21"/>
      <c r="C63" s="21"/>
      <c r="D63" s="21"/>
      <c r="E63" s="21"/>
      <c r="F63" s="21"/>
      <c r="G63" s="21"/>
      <c r="H63" s="21"/>
      <c r="I63" s="22"/>
      <c r="J63" s="21"/>
      <c r="K63" s="21"/>
      <c r="M63" s="22"/>
      <c r="N63" s="21"/>
      <c r="O63" s="21"/>
      <c r="P63" s="21"/>
      <c r="Q63" s="21"/>
      <c r="R63" s="21"/>
      <c r="S63" s="21"/>
    </row>
    <row r="64" spans="1:19" s="24" customFormat="1" x14ac:dyDescent="0.25">
      <c r="A64" s="6"/>
      <c r="B64" s="21"/>
      <c r="C64" s="21"/>
      <c r="D64" s="21"/>
      <c r="E64" s="21"/>
      <c r="F64" s="21"/>
      <c r="G64" s="26"/>
      <c r="H64" s="26"/>
      <c r="I64" s="27"/>
      <c r="J64" s="26"/>
      <c r="K64" s="26"/>
      <c r="M64" s="22"/>
      <c r="N64" s="21"/>
      <c r="O64" s="21"/>
      <c r="P64" s="21"/>
      <c r="Q64" s="21"/>
      <c r="R64" s="21"/>
      <c r="S64" s="21"/>
    </row>
    <row r="65" spans="1:24" x14ac:dyDescent="0.25">
      <c r="H65" s="22"/>
      <c r="L65" s="21"/>
      <c r="M65" s="21"/>
      <c r="T65" s="21"/>
      <c r="U65" s="21"/>
    </row>
    <row r="66" spans="1:24" x14ac:dyDescent="0.25">
      <c r="H66" s="22"/>
      <c r="L66" s="26"/>
      <c r="M66" s="26"/>
      <c r="N66" s="26"/>
      <c r="O66" s="26"/>
      <c r="P66" s="26"/>
      <c r="Q66" s="26"/>
      <c r="R66" s="26"/>
      <c r="T66" s="21"/>
      <c r="U66" s="21"/>
    </row>
    <row r="67" spans="1:24" x14ac:dyDescent="0.25">
      <c r="H67" s="22"/>
    </row>
    <row r="68" spans="1:24" x14ac:dyDescent="0.25">
      <c r="H68" s="22"/>
    </row>
    <row r="69" spans="1:24" x14ac:dyDescent="0.25">
      <c r="H69" s="22"/>
    </row>
    <row r="70" spans="1:24" x14ac:dyDescent="0.25">
      <c r="H70" s="22"/>
    </row>
    <row r="71" spans="1:24" x14ac:dyDescent="0.25">
      <c r="H71" s="22"/>
    </row>
    <row r="72" spans="1:24" x14ac:dyDescent="0.25">
      <c r="H72" s="22"/>
    </row>
    <row r="73" spans="1:24" x14ac:dyDescent="0.25">
      <c r="H73" s="22"/>
    </row>
    <row r="74" spans="1:24" x14ac:dyDescent="0.25">
      <c r="H74" s="22"/>
    </row>
    <row r="75" spans="1:24" x14ac:dyDescent="0.25">
      <c r="H75" s="22"/>
    </row>
    <row r="76" spans="1:24" x14ac:dyDescent="0.25">
      <c r="H76" s="22"/>
    </row>
    <row r="77" spans="1:24" s="21" customFormat="1" x14ac:dyDescent="0.25">
      <c r="A77" s="6"/>
      <c r="H77" s="22"/>
      <c r="L77" s="22"/>
      <c r="M77" s="22"/>
      <c r="T77"/>
      <c r="U77"/>
      <c r="V77"/>
      <c r="W77"/>
      <c r="X77"/>
    </row>
    <row r="78" spans="1:24" s="21" customFormat="1" x14ac:dyDescent="0.25">
      <c r="A78" s="6"/>
      <c r="H78" s="22"/>
      <c r="L78" s="22"/>
      <c r="M78" s="22"/>
      <c r="T78"/>
      <c r="U78"/>
      <c r="V78"/>
      <c r="W78"/>
      <c r="X78"/>
    </row>
    <row r="79" spans="1:24" s="21" customFormat="1" x14ac:dyDescent="0.25">
      <c r="A79" s="6"/>
      <c r="H79" s="22"/>
      <c r="L79" s="22"/>
      <c r="M79" s="22"/>
      <c r="T79"/>
      <c r="U79"/>
      <c r="V79"/>
      <c r="W79"/>
      <c r="X79"/>
    </row>
    <row r="80" spans="1:24" s="21" customFormat="1" x14ac:dyDescent="0.25">
      <c r="A80" s="6"/>
      <c r="H80" s="22"/>
      <c r="L80" s="22"/>
      <c r="M80" s="22"/>
      <c r="T80"/>
      <c r="U80"/>
      <c r="V80"/>
      <c r="W80"/>
      <c r="X80"/>
    </row>
    <row r="81" spans="1:24" s="21" customFormat="1" x14ac:dyDescent="0.25">
      <c r="A81" s="6"/>
      <c r="H81" s="22"/>
      <c r="L81" s="22"/>
      <c r="M81" s="22"/>
      <c r="T81"/>
      <c r="U81"/>
      <c r="V81"/>
      <c r="W81"/>
      <c r="X81"/>
    </row>
    <row r="82" spans="1:24" s="21" customFormat="1" x14ac:dyDescent="0.25">
      <c r="A82" s="6"/>
      <c r="H82" s="22"/>
      <c r="L82" s="22"/>
      <c r="M82" s="22"/>
      <c r="T82"/>
      <c r="U82"/>
      <c r="V82"/>
      <c r="W82"/>
      <c r="X82"/>
    </row>
    <row r="83" spans="1:24" s="21" customFormat="1" x14ac:dyDescent="0.25">
      <c r="A83" s="6"/>
      <c r="H83" s="22"/>
      <c r="L83" s="22"/>
      <c r="M83" s="22"/>
      <c r="T83"/>
      <c r="U83"/>
      <c r="V83"/>
      <c r="W83"/>
      <c r="X83"/>
    </row>
    <row r="84" spans="1:24" s="21" customFormat="1" x14ac:dyDescent="0.25">
      <c r="A84" s="6"/>
      <c r="H84" s="22"/>
      <c r="L84" s="22"/>
      <c r="M84" s="22"/>
      <c r="T84"/>
      <c r="U84"/>
      <c r="V84"/>
      <c r="W84"/>
      <c r="X84"/>
    </row>
    <row r="85" spans="1:24" s="21" customFormat="1" x14ac:dyDescent="0.25">
      <c r="A85" s="6"/>
      <c r="H85" s="22"/>
      <c r="L85" s="22"/>
      <c r="M85" s="22"/>
      <c r="T85"/>
      <c r="U85"/>
      <c r="V85"/>
      <c r="W85"/>
      <c r="X85"/>
    </row>
    <row r="86" spans="1:24" s="21" customFormat="1" x14ac:dyDescent="0.25">
      <c r="A86" s="6"/>
      <c r="H86" s="22"/>
      <c r="L86" s="22"/>
      <c r="M86" s="22"/>
      <c r="T86"/>
      <c r="U86"/>
      <c r="V86"/>
      <c r="W86"/>
      <c r="X86"/>
    </row>
    <row r="87" spans="1:24" s="21" customFormat="1" x14ac:dyDescent="0.25">
      <c r="A87" s="6"/>
      <c r="H87" s="22"/>
      <c r="L87" s="22"/>
      <c r="M87" s="22"/>
      <c r="T87"/>
      <c r="U87"/>
      <c r="V87"/>
      <c r="W87"/>
      <c r="X87"/>
    </row>
    <row r="88" spans="1:24" s="21" customFormat="1" x14ac:dyDescent="0.25">
      <c r="A88" s="6"/>
      <c r="H88" s="22"/>
      <c r="L88" s="22"/>
      <c r="M88" s="22"/>
      <c r="T88"/>
      <c r="U88"/>
      <c r="V88"/>
      <c r="W88"/>
      <c r="X88"/>
    </row>
    <row r="89" spans="1:24" s="21" customFormat="1" x14ac:dyDescent="0.25">
      <c r="A89" s="6"/>
      <c r="H89" s="22"/>
      <c r="L89" s="22"/>
      <c r="M89" s="22"/>
      <c r="T89"/>
      <c r="U89"/>
      <c r="V89"/>
      <c r="W89"/>
      <c r="X89"/>
    </row>
    <row r="90" spans="1:24" s="21" customFormat="1" x14ac:dyDescent="0.25">
      <c r="A90" s="6"/>
      <c r="H90" s="22"/>
      <c r="L90" s="22"/>
      <c r="M90" s="22"/>
      <c r="T90"/>
      <c r="U90"/>
      <c r="V90"/>
      <c r="W90"/>
      <c r="X90"/>
    </row>
    <row r="91" spans="1:24" s="21" customFormat="1" x14ac:dyDescent="0.25">
      <c r="A91" s="6"/>
      <c r="H91" s="22"/>
      <c r="L91" s="22"/>
      <c r="M91" s="22"/>
      <c r="T91"/>
      <c r="U91"/>
      <c r="V91"/>
      <c r="W91"/>
      <c r="X91"/>
    </row>
    <row r="92" spans="1:24" s="21" customFormat="1" x14ac:dyDescent="0.25">
      <c r="A92" s="6"/>
      <c r="H92" s="22"/>
      <c r="L92" s="22"/>
      <c r="M92" s="22"/>
      <c r="T92"/>
      <c r="U92"/>
      <c r="V92"/>
      <c r="W92"/>
      <c r="X92"/>
    </row>
    <row r="93" spans="1:24" s="21" customFormat="1" x14ac:dyDescent="0.25">
      <c r="A93" s="6"/>
      <c r="H93" s="22"/>
      <c r="L93" s="22"/>
      <c r="M93" s="22"/>
      <c r="T93"/>
      <c r="U93"/>
      <c r="V93"/>
      <c r="W93"/>
      <c r="X93"/>
    </row>
    <row r="94" spans="1:24" s="21" customFormat="1" x14ac:dyDescent="0.25">
      <c r="A94" s="6"/>
      <c r="H94" s="22"/>
      <c r="L94" s="22"/>
      <c r="M94" s="22"/>
      <c r="T94"/>
      <c r="U94"/>
      <c r="V94"/>
      <c r="W94"/>
      <c r="X94"/>
    </row>
    <row r="95" spans="1:24" s="21" customFormat="1" x14ac:dyDescent="0.25">
      <c r="A95" s="6"/>
      <c r="H95" s="22"/>
      <c r="L95" s="22"/>
      <c r="M95" s="22"/>
      <c r="T95"/>
      <c r="U95"/>
      <c r="V95"/>
      <c r="W95"/>
      <c r="X95"/>
    </row>
    <row r="96" spans="1:24" s="21" customFormat="1" x14ac:dyDescent="0.25">
      <c r="A96" s="6"/>
      <c r="H96" s="22"/>
      <c r="L96" s="22"/>
      <c r="M96" s="22"/>
      <c r="T96"/>
      <c r="U96"/>
      <c r="V96"/>
      <c r="W96"/>
      <c r="X96"/>
    </row>
    <row r="97" spans="1:24" s="21" customFormat="1" x14ac:dyDescent="0.25">
      <c r="A97" s="6"/>
      <c r="H97" s="22"/>
      <c r="L97" s="22"/>
      <c r="M97" s="22"/>
      <c r="T97"/>
      <c r="U97"/>
      <c r="V97"/>
      <c r="W97"/>
      <c r="X97"/>
    </row>
    <row r="98" spans="1:24" s="21" customFormat="1" x14ac:dyDescent="0.25">
      <c r="A98" s="6"/>
      <c r="H98" s="22"/>
      <c r="L98" s="22"/>
      <c r="M98" s="22"/>
      <c r="T98"/>
      <c r="U98"/>
      <c r="V98"/>
      <c r="W98"/>
      <c r="X98"/>
    </row>
    <row r="99" spans="1:24" s="21" customFormat="1" x14ac:dyDescent="0.25">
      <c r="A99" s="6"/>
      <c r="H99" s="22"/>
      <c r="L99" s="22"/>
      <c r="M99" s="22"/>
      <c r="T99"/>
      <c r="U99"/>
      <c r="V99"/>
      <c r="W99"/>
      <c r="X99"/>
    </row>
    <row r="100" spans="1:24" s="21" customFormat="1" x14ac:dyDescent="0.25">
      <c r="A100" s="6"/>
      <c r="H100" s="22"/>
      <c r="L100" s="22"/>
      <c r="M100" s="22"/>
      <c r="T100"/>
      <c r="U100"/>
      <c r="V100"/>
      <c r="W100"/>
      <c r="X100"/>
    </row>
    <row r="101" spans="1:24" s="21" customFormat="1" x14ac:dyDescent="0.25">
      <c r="A101" s="6"/>
      <c r="H101" s="22"/>
      <c r="L101" s="22"/>
      <c r="M101" s="22"/>
      <c r="T101"/>
      <c r="U101"/>
      <c r="V101"/>
      <c r="W101"/>
      <c r="X101"/>
    </row>
    <row r="102" spans="1:24" s="21" customFormat="1" x14ac:dyDescent="0.25">
      <c r="A102" s="6"/>
      <c r="H102" s="22"/>
      <c r="L102" s="22"/>
      <c r="M102" s="22"/>
      <c r="T102"/>
      <c r="U102"/>
      <c r="V102"/>
      <c r="W102"/>
      <c r="X102"/>
    </row>
    <row r="103" spans="1:24" s="21" customFormat="1" x14ac:dyDescent="0.25">
      <c r="A103" s="6"/>
      <c r="H103" s="22"/>
      <c r="L103" s="22"/>
      <c r="M103" s="22"/>
      <c r="T103"/>
      <c r="U103"/>
      <c r="V103"/>
      <c r="W103"/>
      <c r="X103"/>
    </row>
    <row r="104" spans="1:24" s="21" customFormat="1" x14ac:dyDescent="0.25">
      <c r="A104" s="6"/>
      <c r="H104" s="22"/>
      <c r="L104" s="22"/>
      <c r="M104" s="22"/>
      <c r="T104"/>
      <c r="U104"/>
      <c r="V104"/>
      <c r="W104"/>
      <c r="X104"/>
    </row>
    <row r="105" spans="1:24" s="21" customFormat="1" x14ac:dyDescent="0.25">
      <c r="A105" s="6"/>
      <c r="H105" s="22"/>
      <c r="L105" s="22"/>
      <c r="M105" s="22"/>
      <c r="T105"/>
      <c r="U105"/>
      <c r="V105"/>
      <c r="W105"/>
      <c r="X105"/>
    </row>
    <row r="106" spans="1:24" s="21" customFormat="1" x14ac:dyDescent="0.25">
      <c r="A106" s="6"/>
      <c r="H106" s="22"/>
      <c r="L106" s="22"/>
      <c r="M106" s="22"/>
      <c r="T106"/>
      <c r="U106"/>
      <c r="V106"/>
      <c r="W106"/>
      <c r="X106"/>
    </row>
    <row r="107" spans="1:24" s="21" customFormat="1" x14ac:dyDescent="0.25">
      <c r="A107" s="6"/>
      <c r="H107" s="22"/>
      <c r="L107" s="22"/>
      <c r="M107" s="22"/>
      <c r="T107"/>
      <c r="U107"/>
      <c r="V107"/>
      <c r="W107"/>
      <c r="X107"/>
    </row>
    <row r="108" spans="1:24" s="21" customFormat="1" x14ac:dyDescent="0.25">
      <c r="A108" s="6"/>
      <c r="H108" s="22"/>
      <c r="L108" s="22"/>
      <c r="M108" s="22"/>
      <c r="T108"/>
      <c r="U108"/>
      <c r="V108"/>
      <c r="W108"/>
      <c r="X108"/>
    </row>
    <row r="109" spans="1:24" s="21" customFormat="1" x14ac:dyDescent="0.25">
      <c r="A109" s="6"/>
      <c r="H109" s="22"/>
      <c r="L109" s="22"/>
      <c r="M109" s="22"/>
      <c r="T109"/>
      <c r="U109"/>
      <c r="V109"/>
      <c r="W109"/>
      <c r="X109"/>
    </row>
    <row r="110" spans="1:24" s="21" customFormat="1" x14ac:dyDescent="0.25">
      <c r="A110" s="6"/>
      <c r="H110" s="22"/>
      <c r="L110" s="22"/>
      <c r="M110" s="22"/>
      <c r="T110"/>
      <c r="U110"/>
      <c r="V110"/>
      <c r="W110"/>
      <c r="X110"/>
    </row>
    <row r="111" spans="1:24" s="21" customFormat="1" x14ac:dyDescent="0.25">
      <c r="A111" s="6"/>
      <c r="H111" s="22"/>
      <c r="L111" s="22"/>
      <c r="M111" s="22"/>
      <c r="T111"/>
      <c r="U111"/>
      <c r="V111"/>
      <c r="W111"/>
      <c r="X111"/>
    </row>
    <row r="112" spans="1:24" s="21" customFormat="1" x14ac:dyDescent="0.25">
      <c r="A112" s="6"/>
      <c r="H112" s="22"/>
      <c r="L112" s="22"/>
      <c r="M112" s="22"/>
      <c r="T112"/>
      <c r="U112"/>
      <c r="V112"/>
      <c r="W112"/>
      <c r="X112"/>
    </row>
    <row r="113" spans="1:24" s="21" customFormat="1" x14ac:dyDescent="0.25">
      <c r="A113" s="6"/>
      <c r="H113" s="22"/>
      <c r="L113" s="22"/>
      <c r="M113" s="22"/>
      <c r="T113"/>
      <c r="U113"/>
      <c r="V113"/>
      <c r="W113"/>
      <c r="X113"/>
    </row>
    <row r="114" spans="1:24" s="21" customFormat="1" x14ac:dyDescent="0.25">
      <c r="A114" s="6"/>
      <c r="H114" s="22"/>
      <c r="L114" s="22"/>
      <c r="M114" s="22"/>
      <c r="T114"/>
      <c r="U114"/>
      <c r="V114"/>
      <c r="W114"/>
      <c r="X114"/>
    </row>
    <row r="115" spans="1:24" s="21" customFormat="1" x14ac:dyDescent="0.25">
      <c r="A115" s="6"/>
      <c r="H115" s="22"/>
      <c r="L115" s="22"/>
      <c r="M115" s="22"/>
      <c r="T115"/>
      <c r="U115"/>
      <c r="V115"/>
      <c r="W115"/>
      <c r="X115"/>
    </row>
    <row r="116" spans="1:24" s="21" customFormat="1" x14ac:dyDescent="0.25">
      <c r="A116" s="6"/>
      <c r="H116" s="22"/>
      <c r="L116" s="22"/>
      <c r="M116" s="22"/>
      <c r="T116"/>
      <c r="U116"/>
      <c r="V116"/>
      <c r="W116"/>
      <c r="X116"/>
    </row>
    <row r="117" spans="1:24" s="21" customFormat="1" x14ac:dyDescent="0.25">
      <c r="A117" s="6"/>
      <c r="H117" s="22"/>
      <c r="L117" s="22"/>
      <c r="M117" s="22"/>
      <c r="T117"/>
      <c r="U117"/>
      <c r="V117"/>
      <c r="W117"/>
      <c r="X117"/>
    </row>
    <row r="118" spans="1:24" s="21" customFormat="1" x14ac:dyDescent="0.25">
      <c r="A118" s="6"/>
      <c r="H118" s="22"/>
      <c r="L118" s="22"/>
      <c r="M118" s="22"/>
      <c r="T118"/>
      <c r="U118"/>
      <c r="V118"/>
      <c r="W118"/>
      <c r="X118"/>
    </row>
    <row r="119" spans="1:24" s="21" customFormat="1" x14ac:dyDescent="0.25">
      <c r="A119" s="6"/>
      <c r="H119" s="22"/>
      <c r="L119" s="22"/>
      <c r="M119" s="22"/>
      <c r="T119"/>
      <c r="U119"/>
      <c r="V119"/>
      <c r="W119"/>
      <c r="X119"/>
    </row>
    <row r="120" spans="1:24" s="21" customFormat="1" x14ac:dyDescent="0.25">
      <c r="A120" s="6"/>
      <c r="H120" s="22"/>
      <c r="L120" s="22"/>
      <c r="M120" s="22"/>
      <c r="T120"/>
      <c r="U120"/>
      <c r="V120"/>
      <c r="W120"/>
      <c r="X120"/>
    </row>
    <row r="121" spans="1:24" s="21" customFormat="1" x14ac:dyDescent="0.25">
      <c r="A121" s="6"/>
      <c r="H121" s="22"/>
      <c r="L121" s="22"/>
      <c r="M121" s="22"/>
      <c r="T121"/>
      <c r="U121"/>
      <c r="V121"/>
      <c r="W121"/>
      <c r="X121"/>
    </row>
    <row r="122" spans="1:24" s="21" customFormat="1" x14ac:dyDescent="0.25">
      <c r="A122" s="6"/>
      <c r="H122" s="22"/>
      <c r="L122" s="22"/>
      <c r="M122" s="22"/>
      <c r="T122"/>
      <c r="U122"/>
      <c r="V122"/>
      <c r="W122"/>
      <c r="X122"/>
    </row>
    <row r="123" spans="1:24" s="21" customFormat="1" x14ac:dyDescent="0.25">
      <c r="A123" s="6"/>
      <c r="H123" s="22"/>
      <c r="L123" s="22"/>
      <c r="M123" s="22"/>
      <c r="T123"/>
      <c r="U123"/>
      <c r="V123"/>
      <c r="W123"/>
      <c r="X123"/>
    </row>
    <row r="124" spans="1:24" s="21" customFormat="1" x14ac:dyDescent="0.25">
      <c r="A124" s="6"/>
      <c r="H124" s="22"/>
      <c r="L124" s="22"/>
      <c r="M124" s="22"/>
      <c r="T124"/>
      <c r="U124"/>
      <c r="V124"/>
      <c r="W124"/>
      <c r="X124"/>
    </row>
    <row r="125" spans="1:24" s="21" customFormat="1" x14ac:dyDescent="0.25">
      <c r="A125" s="6"/>
      <c r="H125" s="22"/>
      <c r="L125" s="22"/>
      <c r="M125" s="22"/>
      <c r="T125"/>
      <c r="U125"/>
      <c r="V125"/>
      <c r="W125"/>
      <c r="X125"/>
    </row>
    <row r="126" spans="1:24" s="21" customFormat="1" x14ac:dyDescent="0.25">
      <c r="A126" s="6"/>
      <c r="H126" s="22"/>
      <c r="L126" s="22"/>
      <c r="M126" s="22"/>
      <c r="T126"/>
      <c r="U126"/>
      <c r="V126"/>
      <c r="W126"/>
      <c r="X126"/>
    </row>
    <row r="127" spans="1:24" s="21" customFormat="1" x14ac:dyDescent="0.25">
      <c r="A127" s="6"/>
      <c r="H127" s="22"/>
      <c r="L127" s="22"/>
      <c r="M127" s="22"/>
      <c r="T127"/>
      <c r="U127"/>
      <c r="V127"/>
      <c r="W127"/>
      <c r="X127"/>
    </row>
    <row r="128" spans="1:24" s="21" customFormat="1" x14ac:dyDescent="0.25">
      <c r="A128" s="6"/>
      <c r="H128" s="22"/>
      <c r="L128" s="22"/>
      <c r="M128" s="22"/>
      <c r="T128"/>
      <c r="U128"/>
      <c r="V128"/>
      <c r="W128"/>
      <c r="X128"/>
    </row>
    <row r="129" spans="1:24" s="21" customFormat="1" x14ac:dyDescent="0.25">
      <c r="A129" s="6"/>
      <c r="H129" s="22"/>
      <c r="L129" s="22"/>
      <c r="M129" s="22"/>
      <c r="T129"/>
      <c r="U129"/>
      <c r="V129"/>
      <c r="W129"/>
      <c r="X129"/>
    </row>
    <row r="130" spans="1:24" s="21" customFormat="1" x14ac:dyDescent="0.25">
      <c r="A130" s="6"/>
      <c r="H130" s="22"/>
      <c r="L130" s="22"/>
      <c r="M130" s="22"/>
      <c r="T130"/>
      <c r="U130"/>
      <c r="V130"/>
      <c r="W130"/>
      <c r="X130"/>
    </row>
    <row r="131" spans="1:24" s="21" customFormat="1" x14ac:dyDescent="0.25">
      <c r="A131" s="6"/>
      <c r="H131" s="22"/>
      <c r="L131" s="22"/>
      <c r="M131" s="22"/>
      <c r="T131"/>
      <c r="U131"/>
      <c r="V131"/>
      <c r="W131"/>
      <c r="X131"/>
    </row>
    <row r="132" spans="1:24" s="21" customFormat="1" x14ac:dyDescent="0.25">
      <c r="A132" s="6"/>
      <c r="H132" s="22"/>
      <c r="L132" s="22"/>
      <c r="M132" s="22"/>
      <c r="T132"/>
      <c r="U132"/>
      <c r="V132"/>
      <c r="W132"/>
      <c r="X132"/>
    </row>
    <row r="133" spans="1:24" s="21" customFormat="1" x14ac:dyDescent="0.25">
      <c r="A133" s="6"/>
      <c r="H133" s="22"/>
      <c r="L133" s="22"/>
      <c r="M133" s="22"/>
      <c r="T133"/>
      <c r="U133"/>
      <c r="V133"/>
      <c r="W133"/>
      <c r="X133"/>
    </row>
    <row r="134" spans="1:24" s="21" customFormat="1" x14ac:dyDescent="0.25">
      <c r="A134" s="6"/>
      <c r="H134" s="22"/>
      <c r="L134" s="22"/>
      <c r="M134" s="22"/>
      <c r="T134"/>
      <c r="U134"/>
      <c r="V134"/>
      <c r="W134"/>
      <c r="X134"/>
    </row>
    <row r="135" spans="1:24" s="21" customFormat="1" x14ac:dyDescent="0.25">
      <c r="A135" s="6"/>
      <c r="H135" s="22"/>
      <c r="L135" s="22"/>
      <c r="M135" s="22"/>
      <c r="T135"/>
      <c r="U135"/>
      <c r="V135"/>
      <c r="W135"/>
      <c r="X135"/>
    </row>
    <row r="136" spans="1:24" s="21" customFormat="1" x14ac:dyDescent="0.25">
      <c r="A136" s="6"/>
      <c r="H136" s="22"/>
      <c r="L136" s="22"/>
      <c r="M136" s="22"/>
      <c r="T136"/>
      <c r="U136"/>
      <c r="V136"/>
      <c r="W136"/>
      <c r="X136"/>
    </row>
    <row r="137" spans="1:24" s="21" customFormat="1" x14ac:dyDescent="0.25">
      <c r="A137" s="6"/>
      <c r="H137" s="22"/>
      <c r="L137" s="22"/>
      <c r="M137" s="22"/>
      <c r="T137"/>
      <c r="U137"/>
      <c r="V137"/>
      <c r="W137"/>
      <c r="X137"/>
    </row>
    <row r="138" spans="1:24" s="21" customFormat="1" x14ac:dyDescent="0.25">
      <c r="A138" s="6"/>
      <c r="H138" s="22"/>
      <c r="L138" s="22"/>
      <c r="M138" s="22"/>
      <c r="T138"/>
      <c r="U138"/>
      <c r="V138"/>
      <c r="W138"/>
      <c r="X138"/>
    </row>
    <row r="139" spans="1:24" s="21" customFormat="1" x14ac:dyDescent="0.25">
      <c r="A139" s="6"/>
      <c r="H139" s="22"/>
      <c r="L139" s="22"/>
      <c r="M139" s="22"/>
      <c r="T139"/>
      <c r="U139"/>
      <c r="V139"/>
      <c r="W139"/>
      <c r="X139"/>
    </row>
    <row r="140" spans="1:24" s="21" customFormat="1" x14ac:dyDescent="0.25">
      <c r="A140" s="6"/>
      <c r="H140" s="22"/>
      <c r="L140" s="22"/>
      <c r="M140" s="22"/>
      <c r="T140"/>
      <c r="U140"/>
      <c r="V140"/>
      <c r="W140"/>
      <c r="X140"/>
    </row>
    <row r="141" spans="1:24" s="21" customFormat="1" x14ac:dyDescent="0.25">
      <c r="A141" s="6"/>
      <c r="H141" s="22"/>
      <c r="L141" s="22"/>
      <c r="M141" s="22"/>
      <c r="T141"/>
      <c r="U141"/>
      <c r="V141"/>
      <c r="W141"/>
      <c r="X141"/>
    </row>
    <row r="142" spans="1:24" s="21" customFormat="1" x14ac:dyDescent="0.25">
      <c r="A142" s="6"/>
      <c r="H142" s="22"/>
      <c r="L142" s="22"/>
      <c r="M142" s="22"/>
      <c r="T142"/>
      <c r="U142"/>
      <c r="V142"/>
      <c r="W142"/>
      <c r="X142"/>
    </row>
    <row r="143" spans="1:24" s="21" customFormat="1" x14ac:dyDescent="0.25">
      <c r="A143" s="6"/>
      <c r="H143" s="22"/>
      <c r="L143" s="22"/>
      <c r="M143" s="22"/>
      <c r="T143"/>
      <c r="U143"/>
      <c r="V143"/>
      <c r="W143"/>
      <c r="X143"/>
    </row>
    <row r="144" spans="1:24" s="21" customFormat="1" x14ac:dyDescent="0.25">
      <c r="A144" s="6"/>
      <c r="H144" s="22"/>
      <c r="L144" s="22"/>
      <c r="M144" s="22"/>
      <c r="T144"/>
      <c r="U144"/>
      <c r="V144"/>
      <c r="W144"/>
      <c r="X144"/>
    </row>
    <row r="145" spans="1:24" s="21" customFormat="1" x14ac:dyDescent="0.25">
      <c r="A145" s="6"/>
      <c r="H145" s="22"/>
      <c r="L145" s="22"/>
      <c r="M145" s="22"/>
      <c r="T145"/>
      <c r="U145"/>
      <c r="V145"/>
      <c r="W145"/>
      <c r="X145"/>
    </row>
    <row r="146" spans="1:24" s="21" customFormat="1" x14ac:dyDescent="0.25">
      <c r="A146" s="6"/>
      <c r="H146" s="22"/>
      <c r="L146" s="22"/>
      <c r="M146" s="22"/>
      <c r="T146"/>
      <c r="U146"/>
      <c r="V146"/>
      <c r="W146"/>
      <c r="X146"/>
    </row>
    <row r="147" spans="1:24" s="21" customFormat="1" x14ac:dyDescent="0.25">
      <c r="A147" s="6"/>
      <c r="H147" s="22"/>
      <c r="L147" s="22"/>
      <c r="M147" s="22"/>
      <c r="T147"/>
      <c r="U147"/>
      <c r="V147"/>
      <c r="W147"/>
      <c r="X147"/>
    </row>
    <row r="148" spans="1:24" s="21" customFormat="1" x14ac:dyDescent="0.25">
      <c r="A148" s="6"/>
      <c r="H148" s="22"/>
      <c r="L148" s="22"/>
      <c r="M148" s="22"/>
      <c r="T148"/>
      <c r="U148"/>
      <c r="V148"/>
      <c r="W148"/>
      <c r="X148"/>
    </row>
    <row r="149" spans="1:24" s="21" customFormat="1" x14ac:dyDescent="0.25">
      <c r="A149" s="6"/>
      <c r="H149" s="22"/>
      <c r="L149" s="22"/>
      <c r="M149" s="22"/>
      <c r="T149"/>
      <c r="U149"/>
      <c r="V149"/>
      <c r="W149"/>
      <c r="X149"/>
    </row>
    <row r="150" spans="1:24" s="21" customFormat="1" x14ac:dyDescent="0.25">
      <c r="A150" s="6"/>
      <c r="H150" s="22"/>
      <c r="L150" s="22"/>
      <c r="M150" s="22"/>
      <c r="T150"/>
      <c r="U150"/>
      <c r="V150"/>
      <c r="W150"/>
      <c r="X150"/>
    </row>
    <row r="151" spans="1:24" s="21" customFormat="1" x14ac:dyDescent="0.25">
      <c r="A151" s="6"/>
      <c r="H151" s="22"/>
      <c r="L151" s="22"/>
      <c r="M151" s="22"/>
      <c r="T151"/>
      <c r="U151"/>
      <c r="V151"/>
      <c r="W151"/>
      <c r="X151"/>
    </row>
    <row r="152" spans="1:24" s="21" customFormat="1" x14ac:dyDescent="0.25">
      <c r="A152" s="6"/>
      <c r="H152" s="22"/>
      <c r="L152" s="22"/>
      <c r="M152" s="22"/>
      <c r="T152"/>
      <c r="U152"/>
      <c r="V152"/>
      <c r="W152"/>
      <c r="X152"/>
    </row>
    <row r="153" spans="1:24" s="21" customFormat="1" x14ac:dyDescent="0.25">
      <c r="A153" s="6"/>
      <c r="H153" s="22"/>
      <c r="L153" s="22"/>
      <c r="M153" s="22"/>
      <c r="T153"/>
      <c r="U153"/>
      <c r="V153"/>
      <c r="W153"/>
      <c r="X153"/>
    </row>
    <row r="154" spans="1:24" s="21" customFormat="1" x14ac:dyDescent="0.25">
      <c r="A154" s="6"/>
      <c r="H154" s="22"/>
      <c r="L154" s="22"/>
      <c r="M154" s="22"/>
      <c r="T154"/>
      <c r="U154"/>
      <c r="V154"/>
      <c r="W154"/>
      <c r="X154"/>
    </row>
    <row r="155" spans="1:24" s="21" customFormat="1" x14ac:dyDescent="0.25">
      <c r="A155" s="6"/>
      <c r="H155" s="22"/>
      <c r="L155" s="22"/>
      <c r="M155" s="22"/>
      <c r="T155"/>
      <c r="U155"/>
      <c r="V155"/>
      <c r="W155"/>
      <c r="X155"/>
    </row>
    <row r="156" spans="1:24" s="21" customFormat="1" x14ac:dyDescent="0.25">
      <c r="A156" s="6"/>
      <c r="H156" s="22"/>
      <c r="L156" s="22"/>
      <c r="M156" s="22"/>
      <c r="T156"/>
      <c r="U156"/>
      <c r="V156"/>
      <c r="W156"/>
      <c r="X156"/>
    </row>
    <row r="157" spans="1:24" s="21" customFormat="1" x14ac:dyDescent="0.25">
      <c r="A157" s="6"/>
      <c r="H157" s="22"/>
      <c r="L157" s="22"/>
      <c r="M157" s="22"/>
      <c r="T157"/>
      <c r="U157"/>
      <c r="V157"/>
      <c r="W157"/>
      <c r="X157"/>
    </row>
    <row r="158" spans="1:24" s="21" customFormat="1" x14ac:dyDescent="0.25">
      <c r="A158" s="6"/>
      <c r="H158" s="22"/>
      <c r="L158" s="22"/>
      <c r="M158" s="22"/>
      <c r="T158"/>
      <c r="U158"/>
      <c r="V158"/>
      <c r="W158"/>
      <c r="X158"/>
    </row>
    <row r="159" spans="1:24" s="21" customFormat="1" x14ac:dyDescent="0.25">
      <c r="A159" s="6"/>
      <c r="H159" s="22"/>
      <c r="L159" s="22"/>
      <c r="M159" s="22"/>
      <c r="T159"/>
      <c r="U159"/>
      <c r="V159"/>
      <c r="W159"/>
      <c r="X159"/>
    </row>
    <row r="160" spans="1:24" s="21" customFormat="1" x14ac:dyDescent="0.25">
      <c r="A160" s="6"/>
      <c r="H160" s="22"/>
      <c r="L160" s="22"/>
      <c r="M160" s="22"/>
      <c r="T160"/>
      <c r="U160"/>
      <c r="V160"/>
      <c r="W160"/>
      <c r="X160"/>
    </row>
    <row r="161" spans="1:24" s="21" customFormat="1" x14ac:dyDescent="0.25">
      <c r="A161" s="6"/>
      <c r="H161" s="22"/>
      <c r="L161" s="22"/>
      <c r="M161" s="22"/>
      <c r="T161"/>
      <c r="U161"/>
      <c r="V161"/>
      <c r="W161"/>
      <c r="X161"/>
    </row>
    <row r="162" spans="1:24" s="21" customFormat="1" x14ac:dyDescent="0.25">
      <c r="A162" s="6"/>
      <c r="H162" s="22"/>
      <c r="L162" s="22"/>
      <c r="M162" s="22"/>
      <c r="T162"/>
      <c r="U162"/>
      <c r="V162"/>
      <c r="W162"/>
      <c r="X162"/>
    </row>
    <row r="163" spans="1:24" s="21" customFormat="1" x14ac:dyDescent="0.25">
      <c r="A163" s="6"/>
      <c r="H163" s="22"/>
      <c r="L163" s="22"/>
      <c r="M163" s="22"/>
      <c r="T163"/>
      <c r="U163"/>
      <c r="V163"/>
      <c r="W163"/>
      <c r="X163"/>
    </row>
    <row r="164" spans="1:24" s="21" customFormat="1" x14ac:dyDescent="0.25">
      <c r="A164" s="6"/>
      <c r="H164" s="22"/>
      <c r="L164" s="22"/>
      <c r="M164" s="22"/>
      <c r="T164"/>
      <c r="U164"/>
      <c r="V164"/>
      <c r="W164"/>
      <c r="X164"/>
    </row>
    <row r="165" spans="1:24" s="21" customFormat="1" x14ac:dyDescent="0.25">
      <c r="A165" s="6"/>
      <c r="H165" s="22"/>
      <c r="L165" s="22"/>
      <c r="M165" s="22"/>
      <c r="T165"/>
      <c r="U165"/>
      <c r="V165"/>
      <c r="W165"/>
      <c r="X165"/>
    </row>
    <row r="166" spans="1:24" s="21" customFormat="1" x14ac:dyDescent="0.25">
      <c r="A166" s="6"/>
      <c r="L166" s="22"/>
      <c r="M166" s="22"/>
      <c r="T166"/>
      <c r="U166"/>
      <c r="V166"/>
      <c r="W166"/>
      <c r="X166"/>
    </row>
    <row r="167" spans="1:24" s="21" customFormat="1" x14ac:dyDescent="0.25">
      <c r="A167" s="6"/>
      <c r="L167" s="22"/>
      <c r="M167" s="22"/>
      <c r="T167"/>
      <c r="U167"/>
      <c r="V167"/>
      <c r="W167"/>
      <c r="X167"/>
    </row>
  </sheetData>
  <mergeCells count="6">
    <mergeCell ref="A8:F8"/>
    <mergeCell ref="A6:E6"/>
    <mergeCell ref="A28:E28"/>
    <mergeCell ref="A31:E31"/>
    <mergeCell ref="A29:E29"/>
    <mergeCell ref="A30:E30"/>
  </mergeCells>
  <printOptions horizontalCentered="1"/>
  <pageMargins left="0" right="0" top="0" bottom="0" header="0.3" footer="0.3"/>
  <pageSetup scale="11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6</vt:i4>
      </vt:variant>
    </vt:vector>
  </HeadingPairs>
  <TitlesOfParts>
    <vt:vector size="13" baseType="lpstr">
      <vt:lpstr>FY 26-27</vt:lpstr>
      <vt:lpstr>FY 25-26</vt:lpstr>
      <vt:lpstr>FY 24-25 ESPN</vt:lpstr>
      <vt:lpstr>FY 24-25</vt:lpstr>
      <vt:lpstr>FY 23-24</vt:lpstr>
      <vt:lpstr>FY22-23</vt:lpstr>
      <vt:lpstr>FY21-22</vt:lpstr>
      <vt:lpstr>'FY 23-24'!Print_Area</vt:lpstr>
      <vt:lpstr>'FY 24-25'!Print_Area</vt:lpstr>
      <vt:lpstr>'FY 24-25 ESPN'!Print_Area</vt:lpstr>
      <vt:lpstr>'FY 25-26'!Print_Area</vt:lpstr>
      <vt:lpstr>'FY 26-27'!Print_Area</vt:lpstr>
      <vt:lpstr>'FY22-23'!Print_Area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kedzior (Gaming)</dc:creator>
  <cp:lastModifiedBy>Williamson, Jeffrey (GAMING)</cp:lastModifiedBy>
  <cp:lastPrinted>2025-12-31T15:41:58Z</cp:lastPrinted>
  <dcterms:created xsi:type="dcterms:W3CDTF">2022-01-10T16:49:23Z</dcterms:created>
  <dcterms:modified xsi:type="dcterms:W3CDTF">2026-07-08T17:03:33Z</dcterms:modified>
</cp:coreProperties>
</file>