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84980688-4C51-4A31-95B7-753470A21B27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22-23'!$A$1:$J$71</definedName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<sst xmlns="http://schemas.openxmlformats.org/spreadsheetml/2006/main" count="85" uniqueCount="18">
  <si>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</si>
  <si>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</si>
  <si>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</si>
  <si>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</si>
  <si>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</si>
  <si>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</si>
  <si>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</si>
  <si>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</si>
  <si>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</si>
  <si>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</si>
  <si>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FanDuel</t>
  </si>
  <si>
    <t xml:space="preserve">2) Mobile Sports Wagering Gross Gaming Revenue (GGR) is taxed at 51%. </t>
  </si>
  <si>
    <t>3) FanDuel Sportsbook began operating in NY on 1/8/22.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</si>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</sst>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  <numFmt numFmtId="167" formatCode="_(&quot;$&quot;* #,##0_);_(&quot;$&quot;* \(#,##0\);_(&quot;$&quot;* &quot;-&quot;??_);_(@_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/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1" fillId="0" borderId="0" xfId="0" applyNumberFormat="1" applyFont="1"/>
    <xf numFmtId="6" fontId="3" fillId="0" borderId="0" xfId="1" applyNumberFormat="1" applyAlignment="1" applyProtection="1"/>
    <xf numFmtId="5" fontId="0" fillId="0" borderId="5" xfId="0" applyNumberFormat="1" applyBorder="1"/>
    <xf numFmtId="38" fontId="8" fillId="0" borderId="0" xfId="0" applyNumberFormat="1" applyFont="1" applyAlignment="1">
      <alignment horizontal="center" vertical="center" wrapText="1"/>
    </xf>
    <xf numFmtId="6" fontId="2" fillId="0" borderId="0" xfId="0" applyNumberFormat="1" applyFont="1" applyAlignment="1">
      <alignment horizontal="center"/>
    </xf>
    <xf numFmtId="167" fontId="0" fillId="0" borderId="5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166" fontId="10" fillId="0" borderId="0" xfId="0" applyNumberFormat="1" applyFont="1" applyAlignment="1">
      <alignment horizontal="left" vertical="center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BA0C20-0616-4048-8657-7213414FCEB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63065" cy="4438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F3971B-CDC1-427C-BDD0-57D42625E73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63065" cy="4438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E64265-9224-4345-B071-B86C627EF16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200025</xdr:colOff>
      <xdr:row>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AA7063-1DDA-4AE4-ABCC-0CA65DA43C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200025</xdr:colOff>
      <xdr:row>3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0C28D3-F4DF-43E0-A70E-B5C4044A47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114300</xdr:rowOff>
    </xdr:from>
    <xdr:to>
      <xdr:col>1</xdr:col>
      <xdr:colOff>914400</xdr:colOff>
      <xdr:row>3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1FFE47-934A-4188-A783-B02922B0350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143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6F154-9966-4331-973B-6B5F10A8C0D3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I31" sqref="I31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17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46110</v>
      </c>
      <c r="B13" s="19"/>
      <c r="C13" s="20">
        <v>174167197.76999998</v>
      </c>
      <c r="F13" s="22">
        <v>16667026.150000002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5" si="0">A13+7</f>
        <v>46117</v>
      </c>
      <c r="B14" s="19"/>
      <c r="C14" s="20">
        <v>174079667.19000003</v>
      </c>
      <c r="F14" s="22">
        <v>24198762.800000008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46124</v>
      </c>
      <c r="B15" s="19"/>
      <c r="C15" s="20">
        <v>170200268.79999998</v>
      </c>
      <c r="F15" s="22">
        <v>23441496.457999997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46131</v>
      </c>
      <c r="B16" s="19"/>
      <c r="C16" s="20">
        <v>172518047.95000002</v>
      </c>
      <c r="F16" s="22">
        <v>22492768.830000006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46138</v>
      </c>
      <c r="B17" s="19"/>
      <c r="C17" s="20">
        <v>201358511.19</v>
      </c>
      <c r="F17" s="22">
        <v>22796178.768500015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46145</v>
      </c>
      <c r="B18" s="19"/>
      <c r="C18" s="20">
        <v>176581505.13999999</v>
      </c>
      <c r="F18" s="22">
        <v>21270407.780000005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46152</v>
      </c>
      <c r="B19" s="19"/>
      <c r="C19" s="20">
        <v>186989066.56</v>
      </c>
      <c r="F19" s="22">
        <v>27197848.889999993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46159</v>
      </c>
      <c r="B20" s="19"/>
      <c r="C20" s="20">
        <v>154696732.41</v>
      </c>
      <c r="F20" s="22">
        <v>23476012.490000002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46166</v>
      </c>
      <c r="B21" s="19"/>
      <c r="C21" s="20">
        <v>175736744.05000001</v>
      </c>
      <c r="F21" s="22">
        <v>22388110.389999989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46173</v>
      </c>
      <c r="B22" s="19"/>
      <c r="C22" s="20">
        <v>170993121.64000002</v>
      </c>
      <c r="F22" s="22">
        <v>11030004.479300007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46180</v>
      </c>
      <c r="B23" s="19"/>
      <c r="C23" s="20">
        <v>154759208.31</v>
      </c>
      <c r="F23" s="22">
        <v>11517920.095599998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46187</v>
      </c>
      <c r="B24" s="19"/>
      <c r="C24" s="20">
        <v>220845888.63000003</v>
      </c>
      <c r="F24" s="22">
        <v>-22574160.995000005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46194</v>
      </c>
      <c r="B25" s="19"/>
      <c r="C25" s="20">
        <v>197643614.38999999</v>
      </c>
      <c r="F25" s="22">
        <v>24458284.709999997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46201</v>
      </c>
      <c r="B26" s="19"/>
      <c r="C26" s="20">
        <v>178427790.03</v>
      </c>
      <c r="F26" s="22">
        <v>25667735.719999995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46208</v>
      </c>
      <c r="B27" s="19"/>
      <c r="C27" s="20">
        <v>187715921.02000001</v>
      </c>
      <c r="F27" s="22">
        <v>13578970.560000006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46215</v>
      </c>
      <c r="B28" s="19"/>
      <c r="C28" s="20">
        <v>162520979.60000002</v>
      </c>
      <c r="F28" s="22">
        <v>24960939.039999999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46222</v>
      </c>
      <c r="B29" s="19"/>
      <c r="C29" s="20">
        <v>133999844.52000001</v>
      </c>
      <c r="F29" s="22">
        <v>26554139.439999998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46229</v>
      </c>
      <c r="B30" s="19"/>
      <c r="C30" s="20">
        <v>123109037.36999999</v>
      </c>
      <c r="F30" s="22">
        <v>10499562.250000006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46236</v>
      </c>
      <c r="B31" s="19"/>
      <c r="C31" s="20">
        <v>136855999.17999998</v>
      </c>
      <c r="F31" s="22">
        <v>18214019.330000006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46243</v>
      </c>
      <c r="B32" s="19"/>
      <c r="F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46250</v>
      </c>
      <c r="B33" s="19"/>
      <c r="F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46257</v>
      </c>
      <c r="B34" s="19"/>
      <c r="F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46264</v>
      </c>
      <c r="B35" s="19"/>
      <c r="F35" s="2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46271</v>
      </c>
      <c r="B36" s="19"/>
      <c r="F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46278</v>
      </c>
      <c r="B37" s="19"/>
      <c r="F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46285</v>
      </c>
      <c r="B38" s="19"/>
      <c r="F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46292</v>
      </c>
      <c r="B39" s="19"/>
      <c r="F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46299</v>
      </c>
      <c r="B40" s="19"/>
      <c r="F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46306</v>
      </c>
      <c r="B41" s="19"/>
      <c r="F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46313</v>
      </c>
      <c r="B42" s="19"/>
      <c r="F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46320</v>
      </c>
      <c r="B43" s="19"/>
      <c r="F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46327</v>
      </c>
      <c r="B44" s="19"/>
      <c r="F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46334</v>
      </c>
      <c r="B45" s="19"/>
      <c r="F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46341</v>
      </c>
      <c r="B46" s="19"/>
      <c r="F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46348</v>
      </c>
      <c r="B47" s="19"/>
      <c r="F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46355</v>
      </c>
      <c r="B48" s="19"/>
      <c r="F48" s="2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46362</v>
      </c>
      <c r="B49" s="19"/>
      <c r="F49" s="22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46369</v>
      </c>
      <c r="B50" s="19"/>
      <c r="F50" s="22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46376</v>
      </c>
      <c r="B51" s="19"/>
      <c r="F51" s="22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46383</v>
      </c>
      <c r="B52" s="19"/>
      <c r="F52" s="2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46390</v>
      </c>
      <c r="B53" s="19"/>
      <c r="F53" s="22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46397</v>
      </c>
      <c r="B54" s="19"/>
      <c r="F54" s="22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46404</v>
      </c>
      <c r="B55" s="19"/>
      <c r="F55" s="22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46411</v>
      </c>
      <c r="B56" s="19"/>
      <c r="F56" s="22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46418</v>
      </c>
      <c r="B57" s="19"/>
      <c r="F57" s="22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46425</v>
      </c>
      <c r="B58" s="19"/>
      <c r="F58" s="22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46432</v>
      </c>
      <c r="B59" s="19"/>
      <c r="F59" s="22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46439</v>
      </c>
      <c r="B60" s="19"/>
      <c r="F60" s="22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46446</v>
      </c>
      <c r="B61" s="19"/>
      <c r="F61" s="22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46453</v>
      </c>
      <c r="B62" s="19"/>
      <c r="F62" s="2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46460</v>
      </c>
      <c r="B63" s="19"/>
      <c r="F63" s="22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46467</v>
      </c>
      <c r="B64" s="19"/>
      <c r="F64" s="22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>
        <f t="shared" si="0"/>
        <v>46474</v>
      </c>
      <c r="B65" s="19"/>
      <c r="F65" s="22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3253199145.75</v>
      </c>
      <c r="F67" s="35">
        <f>SUM(F13:F66)</f>
        <v>347836027.18640006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2EF36-6F95-49B8-8C33-97549A1728FA}">
  <sheetPr>
    <pageSetUpPr fitToPage="1"/>
  </sheetPr>
  <dimension ref="A1:X208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16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45746</v>
      </c>
      <c r="B13" s="19"/>
      <c r="C13" s="20">
        <v>197804320.32999998</v>
      </c>
      <c r="F13" s="20">
        <v>4285892.8400000036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45753</v>
      </c>
      <c r="B14" s="19"/>
      <c r="C14" s="20">
        <v>212285693.72</v>
      </c>
      <c r="F14" s="20">
        <v>15555467.109999988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45760</v>
      </c>
      <c r="B15" s="19"/>
      <c r="C15" s="20">
        <v>179832054.59</v>
      </c>
      <c r="F15" s="20">
        <v>21865289.960000008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45767</v>
      </c>
      <c r="B16" s="19"/>
      <c r="C16" s="20">
        <v>180762490.68000001</v>
      </c>
      <c r="F16" s="20">
        <v>11449750.390000008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45774</v>
      </c>
      <c r="B17" s="19"/>
      <c r="C17" s="20">
        <v>197609596.03999996</v>
      </c>
      <c r="F17" s="20">
        <v>24114018.640000001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45781</v>
      </c>
      <c r="B18" s="19"/>
      <c r="C18" s="20">
        <v>180508704.21000001</v>
      </c>
      <c r="F18" s="20">
        <v>26188379.870000005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45788</v>
      </c>
      <c r="B19" s="19"/>
      <c r="C19" s="20">
        <v>194046063.12999997</v>
      </c>
      <c r="F19" s="20">
        <v>19505197.72000001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45795</v>
      </c>
      <c r="B20" s="19"/>
      <c r="C20" s="20">
        <v>185482741.06</v>
      </c>
      <c r="F20" s="20">
        <v>22904458.560000002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45802</v>
      </c>
      <c r="B21" s="19"/>
      <c r="C21" s="20">
        <v>170788381.49999997</v>
      </c>
      <c r="F21" s="20">
        <v>26436257.43999999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45809</v>
      </c>
      <c r="B22" s="19"/>
      <c r="C22" s="20">
        <v>169940624.58000001</v>
      </c>
      <c r="F22" s="20">
        <v>26370023.370000001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45816</v>
      </c>
      <c r="B23" s="19"/>
      <c r="C23" s="20">
        <v>137737062.36000001</v>
      </c>
      <c r="F23" s="20">
        <v>19762105.960000001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45823</v>
      </c>
      <c r="B24" s="19"/>
      <c r="C24" s="20">
        <v>131449929.41</v>
      </c>
      <c r="F24" s="20">
        <v>21961446.970000006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45830</v>
      </c>
      <c r="B25" s="19"/>
      <c r="C25" s="20">
        <v>138900477.13</v>
      </c>
      <c r="F25" s="20">
        <v>25195395.950000007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45837</v>
      </c>
      <c r="B26" s="19"/>
      <c r="C26" s="20">
        <v>119854154.68000001</v>
      </c>
      <c r="F26" s="20">
        <v>15350126.320000002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45844</v>
      </c>
      <c r="B27" s="19"/>
      <c r="C27" s="20">
        <v>119310674.94</v>
      </c>
      <c r="F27" s="20">
        <v>13492312.499999996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45851</v>
      </c>
      <c r="B28" s="19"/>
      <c r="C28" s="20">
        <v>112142063.56</v>
      </c>
      <c r="F28" s="20">
        <v>15108079.08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45858</v>
      </c>
      <c r="B29" s="19"/>
      <c r="C29" s="20">
        <v>89509523.680000007</v>
      </c>
      <c r="F29" s="20">
        <v>14536556.32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45865</v>
      </c>
      <c r="B30" s="19"/>
      <c r="C30" s="20">
        <v>113524252.14000002</v>
      </c>
      <c r="F30" s="20">
        <v>11795276.130000005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45872</v>
      </c>
      <c r="B31" s="19"/>
      <c r="C31" s="20">
        <v>111723683.98</v>
      </c>
      <c r="F31" s="20">
        <v>16690299.259999996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45879</v>
      </c>
      <c r="B32" s="19"/>
      <c r="C32" s="20">
        <v>113606777.84000002</v>
      </c>
      <c r="F32" s="20">
        <v>13621162.930000003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45886</v>
      </c>
      <c r="B33" s="19"/>
      <c r="C33" s="20">
        <v>117264876.41</v>
      </c>
      <c r="F33" s="20">
        <v>14201462.370000001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45893</v>
      </c>
      <c r="B34" s="19"/>
      <c r="C34" s="20">
        <v>125648322.61000001</v>
      </c>
      <c r="F34" s="20">
        <v>11167646.130000001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45900</v>
      </c>
      <c r="B35" s="19"/>
      <c r="C35" s="20">
        <v>152512535.81</v>
      </c>
      <c r="F35" s="20">
        <v>21652539.539999999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45907</v>
      </c>
      <c r="B36" s="19"/>
      <c r="C36" s="20">
        <v>173672799.06999999</v>
      </c>
      <c r="F36" s="20">
        <v>14553305.090000002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45914</v>
      </c>
      <c r="B37" s="19"/>
      <c r="C37" s="20">
        <v>175030243.85999998</v>
      </c>
      <c r="F37" s="20">
        <v>24095325.300000001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45921</v>
      </c>
      <c r="B38" s="19"/>
      <c r="C38" s="20">
        <v>193134656.41000003</v>
      </c>
      <c r="F38" s="20">
        <v>23933688.890000001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45928</v>
      </c>
      <c r="B39" s="19"/>
      <c r="C39" s="20">
        <v>203978285.30000001</v>
      </c>
      <c r="F39" s="20">
        <v>13733637.799999986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45935</v>
      </c>
      <c r="B40" s="19"/>
      <c r="C40" s="20">
        <v>218719835.98000002</v>
      </c>
      <c r="F40" s="20">
        <v>13194880.109999996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45942</v>
      </c>
      <c r="B41" s="19"/>
      <c r="C41" s="20">
        <v>207667681.13999999</v>
      </c>
      <c r="F41" s="20">
        <v>31580236.550000008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45949</v>
      </c>
      <c r="B42" s="19"/>
      <c r="C42" s="20">
        <v>211664810.66</v>
      </c>
      <c r="F42" s="20">
        <v>11382628.409999996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45956</v>
      </c>
      <c r="B43" s="19"/>
      <c r="C43" s="20">
        <v>251678003.55000001</v>
      </c>
      <c r="F43" s="20">
        <v>22208941.510000013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45963</v>
      </c>
      <c r="B44" s="19"/>
      <c r="C44" s="20">
        <v>258004600.07999998</v>
      </c>
      <c r="F44" s="20">
        <v>33691886.850000009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45970</v>
      </c>
      <c r="B45" s="19"/>
      <c r="C45" s="20">
        <v>231319587.27000001</v>
      </c>
      <c r="F45" s="20">
        <v>36060679.149999991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45977</v>
      </c>
      <c r="B46" s="19"/>
      <c r="C46" s="20">
        <v>215627758.94999999</v>
      </c>
      <c r="F46" s="20">
        <v>26718080.431999996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45984</v>
      </c>
      <c r="B47" s="19"/>
      <c r="C47" s="20">
        <v>209034253.98999998</v>
      </c>
      <c r="F47" s="20">
        <v>28405015.609999999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45991</v>
      </c>
      <c r="B48" s="19"/>
      <c r="C48" s="20">
        <v>246890963.5</v>
      </c>
      <c r="F48" s="20">
        <v>30544202.539999992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45998</v>
      </c>
      <c r="B49" s="19"/>
      <c r="C49" s="20">
        <v>204196518.27000001</v>
      </c>
      <c r="F49" s="20">
        <v>39896511.990000002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46005</v>
      </c>
      <c r="B50" s="19"/>
      <c r="C50" s="20">
        <v>180034710.45000002</v>
      </c>
      <c r="F50" s="20">
        <v>23581025.449999996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46012</v>
      </c>
      <c r="B51" s="19"/>
      <c r="C51" s="20">
        <v>208520597.46000004</v>
      </c>
      <c r="F51" s="20">
        <v>14196411.550000008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46019</v>
      </c>
      <c r="B52" s="19"/>
      <c r="C52" s="20">
        <v>190820529.24000001</v>
      </c>
      <c r="F52" s="20">
        <v>29149680.740000002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46026</v>
      </c>
      <c r="B53" s="19"/>
      <c r="C53" s="20">
        <v>200578769.56999999</v>
      </c>
      <c r="F53" s="20">
        <v>34306387.480000012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46033</v>
      </c>
      <c r="B54" s="19"/>
      <c r="C54" s="20">
        <v>200135767.38</v>
      </c>
      <c r="F54" s="20">
        <v>20328285.932400011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46040</v>
      </c>
      <c r="B55" s="19"/>
      <c r="C55" s="20">
        <v>198485410.30999997</v>
      </c>
      <c r="F55" s="20">
        <v>43148375.009000003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46047</v>
      </c>
      <c r="B56" s="19"/>
      <c r="C56" s="20">
        <v>197447320.12000003</v>
      </c>
      <c r="F56" s="20">
        <v>11028913.471499994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46054</v>
      </c>
      <c r="B57" s="19"/>
      <c r="C57" s="20">
        <v>176999475.94999999</v>
      </c>
      <c r="F57" s="20">
        <v>21393106.796000008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46061</v>
      </c>
      <c r="B58" s="19"/>
      <c r="C58" s="20">
        <v>207477104.04000002</v>
      </c>
      <c r="F58" s="20">
        <v>23326073.899999999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46068</v>
      </c>
      <c r="B59" s="19"/>
      <c r="C59" s="20">
        <v>159293553.06999999</v>
      </c>
      <c r="F59" s="20">
        <v>16373033.479899999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46075</v>
      </c>
      <c r="B60" s="19"/>
      <c r="C60" s="20">
        <v>164364039.78999999</v>
      </c>
      <c r="F60" s="20">
        <v>18144017.319999985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46082</v>
      </c>
      <c r="B61" s="19"/>
      <c r="C61" s="20">
        <v>167387222.14000002</v>
      </c>
      <c r="F61" s="20">
        <v>19037661.059999995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46089</v>
      </c>
      <c r="B62" s="19"/>
      <c r="C62" s="20">
        <v>173602476.77000001</v>
      </c>
      <c r="F62" s="20">
        <v>18274964.850000009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46096</v>
      </c>
      <c r="B63" s="19"/>
      <c r="C63" s="20">
        <v>193959947.07999998</v>
      </c>
      <c r="F63" s="20">
        <v>16795851.499999993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46103</v>
      </c>
      <c r="B64" s="19"/>
      <c r="C64" s="20">
        <v>199232114.69000003</v>
      </c>
      <c r="F64" s="20">
        <v>25200002.429999992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9271204040.4800014</v>
      </c>
      <c r="F67" s="35">
        <f>SUM(F13:F66)</f>
        <v>1097491956.5608001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850C0-2206-4AFA-A0DE-AC92D8C9D328}">
  <sheetPr>
    <pageSetUpPr fitToPage="1"/>
  </sheetPr>
  <dimension ref="A1:X208"/>
  <sheetViews>
    <sheetView zoomScaleNormal="100" workbookViewId="0">
      <pane xSplit="2" ySplit="12" topLeftCell="C47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15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45382</v>
      </c>
      <c r="B13" s="19"/>
      <c r="C13" s="20">
        <v>202796047.38999999</v>
      </c>
      <c r="F13" s="20">
        <v>21395358.569999993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45389</v>
      </c>
      <c r="B14" s="19"/>
      <c r="C14" s="20">
        <v>194638833.75</v>
      </c>
      <c r="F14" s="20">
        <v>21837182.859999996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45396</v>
      </c>
      <c r="B15" s="19"/>
      <c r="C15" s="20">
        <v>177653260.63000003</v>
      </c>
      <c r="F15" s="20">
        <v>16298286.099999998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45403</v>
      </c>
      <c r="B16" s="19"/>
      <c r="C16" s="20">
        <v>170902486.14999998</v>
      </c>
      <c r="F16" s="20">
        <v>21196936.289999999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45410</v>
      </c>
      <c r="B17" s="19"/>
      <c r="C17" s="20">
        <v>189716837.35000002</v>
      </c>
      <c r="F17" s="20">
        <v>21961129.319999997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45417</v>
      </c>
      <c r="B18" s="19"/>
      <c r="C18" s="20">
        <v>168303125.16999999</v>
      </c>
      <c r="F18" s="20">
        <v>12640328.439999994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45424</v>
      </c>
      <c r="B19" s="19"/>
      <c r="C19" s="20">
        <v>199051939.34999999</v>
      </c>
      <c r="F19" s="20">
        <v>26898581.200000003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45431</v>
      </c>
      <c r="B20" s="19"/>
      <c r="C20" s="20">
        <v>180003171.25</v>
      </c>
      <c r="F20" s="20">
        <v>27201196.780000001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45438</v>
      </c>
      <c r="B21" s="19"/>
      <c r="C21" s="20">
        <v>149268938.41</v>
      </c>
      <c r="F21" s="20">
        <v>15825377.110000003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45445</v>
      </c>
      <c r="B22" s="19"/>
      <c r="C22" s="20">
        <v>139906806.44</v>
      </c>
      <c r="F22" s="20">
        <v>16833930.640000001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45452</v>
      </c>
      <c r="B23" s="19"/>
      <c r="C23" s="20">
        <v>134126220.69</v>
      </c>
      <c r="F23" s="20">
        <v>17787641.970000006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45459</v>
      </c>
      <c r="B24" s="19"/>
      <c r="C24" s="20">
        <v>137682149.16999999</v>
      </c>
      <c r="F24" s="20">
        <v>15219507.5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45466</v>
      </c>
      <c r="B25" s="19"/>
      <c r="C25" s="20">
        <v>131101449.42</v>
      </c>
      <c r="F25" s="20">
        <v>19659166.510000005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45473</v>
      </c>
      <c r="B26" s="19"/>
      <c r="C26" s="20">
        <v>126959251.63</v>
      </c>
      <c r="F26" s="20">
        <v>12763918.600000001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45480</v>
      </c>
      <c r="B27" s="19"/>
      <c r="C27" s="20">
        <v>123721812.58</v>
      </c>
      <c r="F27" s="20">
        <v>14370561.099999992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45487</v>
      </c>
      <c r="B28" s="19"/>
      <c r="C28" s="20">
        <v>116960756.09000002</v>
      </c>
      <c r="F28" s="20">
        <v>14811947.200000001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45494</v>
      </c>
      <c r="B29" s="19"/>
      <c r="C29" s="20">
        <v>86809383.430000007</v>
      </c>
      <c r="F29" s="20">
        <v>11219035.15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45501</v>
      </c>
      <c r="B30" s="19"/>
      <c r="C30" s="20">
        <v>103164983.87</v>
      </c>
      <c r="F30" s="20">
        <v>14589227.840000002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45508</v>
      </c>
      <c r="B31" s="19"/>
      <c r="C31" s="20">
        <v>121652497.17</v>
      </c>
      <c r="F31" s="20">
        <v>8887409.8199999984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45515</v>
      </c>
      <c r="B32" s="19"/>
      <c r="C32" s="20">
        <v>109904199.20999999</v>
      </c>
      <c r="F32" s="20">
        <v>11055286.84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45522</v>
      </c>
      <c r="B33" s="19"/>
      <c r="C33" s="20">
        <v>107026230.45</v>
      </c>
      <c r="F33" s="20">
        <v>15153534.630000003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45529</v>
      </c>
      <c r="B34" s="19"/>
      <c r="C34" s="20">
        <v>105903816.42</v>
      </c>
      <c r="F34" s="20">
        <v>11677101.279999996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45536</v>
      </c>
      <c r="B35" s="19"/>
      <c r="C35" s="20">
        <v>142583417.31</v>
      </c>
      <c r="F35" s="20">
        <v>13450482.990000004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45543</v>
      </c>
      <c r="B36" s="19"/>
      <c r="C36" s="20">
        <v>181587810.24000001</v>
      </c>
      <c r="F36" s="20">
        <v>14958455.080000002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45550</v>
      </c>
      <c r="B37" s="19"/>
      <c r="C37" s="20">
        <v>183390946.19000003</v>
      </c>
      <c r="F37" s="20">
        <v>35147714.299999997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45557</v>
      </c>
      <c r="B38" s="19"/>
      <c r="C38" s="20">
        <v>175548246.51000002</v>
      </c>
      <c r="F38" s="20">
        <v>19255036.81000001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45564</v>
      </c>
      <c r="B39" s="19"/>
      <c r="C39" s="20">
        <v>198225538.88000003</v>
      </c>
      <c r="F39" s="20">
        <v>24189929.120000012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45571</v>
      </c>
      <c r="B40" s="19"/>
      <c r="C40" s="20">
        <v>184111163.47</v>
      </c>
      <c r="F40" s="20">
        <v>19023512.990000002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45578</v>
      </c>
      <c r="B41" s="19"/>
      <c r="C41" s="20">
        <v>183985343.30999997</v>
      </c>
      <c r="F41" s="20">
        <v>13942965.589999987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45585</v>
      </c>
      <c r="B42" s="19"/>
      <c r="C42" s="20">
        <v>207868685.65000001</v>
      </c>
      <c r="F42" s="20">
        <v>5883194.200000003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45592</v>
      </c>
      <c r="B43" s="19"/>
      <c r="C43" s="20">
        <v>240487519.45999998</v>
      </c>
      <c r="F43" s="20">
        <v>23910735.23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45599</v>
      </c>
      <c r="B44" s="19"/>
      <c r="C44" s="20">
        <v>230944387.39999998</v>
      </c>
      <c r="F44" s="20">
        <v>26889558.329999998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45606</v>
      </c>
      <c r="B45" s="19"/>
      <c r="C45" s="20">
        <v>215037435.58999997</v>
      </c>
      <c r="F45" s="20">
        <v>24377036.81000001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45613</v>
      </c>
      <c r="B46" s="19"/>
      <c r="C46" s="20">
        <v>202543511.75</v>
      </c>
      <c r="F46" s="20">
        <v>22675522.079999994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45620</v>
      </c>
      <c r="B47" s="19"/>
      <c r="C47" s="20">
        <v>198965339.12999997</v>
      </c>
      <c r="F47" s="20">
        <v>23129133.489999987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45627</v>
      </c>
      <c r="B48" s="19"/>
      <c r="C48" s="20">
        <v>235494264.63999999</v>
      </c>
      <c r="F48" s="20">
        <v>14301540.52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45634</v>
      </c>
      <c r="B49" s="19"/>
      <c r="C49" s="20">
        <v>213084634.93999997</v>
      </c>
      <c r="F49" s="20">
        <v>16740950.239999998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45641</v>
      </c>
      <c r="B50" s="19"/>
      <c r="C50" s="20">
        <v>185310550.25000003</v>
      </c>
      <c r="F50" s="20">
        <v>20056632.699999996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45648</v>
      </c>
      <c r="B51" s="19"/>
      <c r="C51" s="20">
        <v>205500116.31</v>
      </c>
      <c r="F51" s="20">
        <v>15674949.919999987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45655</v>
      </c>
      <c r="B52" s="19"/>
      <c r="C52" s="20">
        <v>213543031.53</v>
      </c>
      <c r="F52" s="20">
        <v>30200781.429999996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45662</v>
      </c>
      <c r="B53" s="19"/>
      <c r="C53" s="20">
        <v>240346237.97999996</v>
      </c>
      <c r="F53" s="20">
        <v>17169590.669999987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45669</v>
      </c>
      <c r="B54" s="19"/>
      <c r="C54" s="20">
        <v>218010906.80000001</v>
      </c>
      <c r="F54" s="20">
        <v>29912012.699999996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45676</v>
      </c>
      <c r="B55" s="19"/>
      <c r="C55" s="20">
        <v>231156889.51999998</v>
      </c>
      <c r="F55" s="20">
        <v>30050984.27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45683</v>
      </c>
      <c r="B56" s="19"/>
      <c r="C56" s="20">
        <v>209361827.24000004</v>
      </c>
      <c r="F56" s="20">
        <v>13946709.549999993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45690</v>
      </c>
      <c r="B57" s="19"/>
      <c r="C57" s="20">
        <v>197012520.21000001</v>
      </c>
      <c r="F57" s="20">
        <v>23883995.34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45697</v>
      </c>
      <c r="B58" s="19"/>
      <c r="C58" s="20">
        <v>222239245.68000001</v>
      </c>
      <c r="F58" s="20">
        <v>33778347.00999999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45704</v>
      </c>
      <c r="B59" s="19"/>
      <c r="C59" s="20">
        <v>159862464.38</v>
      </c>
      <c r="F59" s="20">
        <v>17057551.620000005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45711</v>
      </c>
      <c r="B60" s="19"/>
      <c r="C60" s="20">
        <v>166462758.52000001</v>
      </c>
      <c r="F60" s="20">
        <v>19480681.680000003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45718</v>
      </c>
      <c r="B61" s="19"/>
      <c r="C61" s="20">
        <v>177631771.30000001</v>
      </c>
      <c r="F61" s="20">
        <v>17246079.620000001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45725</v>
      </c>
      <c r="B62" s="19"/>
      <c r="C62" s="20">
        <v>182484576.16000003</v>
      </c>
      <c r="F62" s="20">
        <v>15602430.490000011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45732</v>
      </c>
      <c r="B63" s="19"/>
      <c r="C63" s="20">
        <v>189357621.34999999</v>
      </c>
      <c r="F63" s="20">
        <v>19277405.020000011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45739</v>
      </c>
      <c r="B64" s="19"/>
      <c r="C64" s="20">
        <v>207080954.13000003</v>
      </c>
      <c r="F64" s="20">
        <v>15713140.359999994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9176473911.8499985</v>
      </c>
      <c r="F67" s="35">
        <f>SUM(F13:F66)</f>
        <v>986209705.90999985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DD244-3E9C-4C31-B4EF-20B0C5629D7C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14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45018</v>
      </c>
      <c r="B13" s="19"/>
      <c r="C13" s="20">
        <v>130717989.68000001</v>
      </c>
      <c r="F13" s="20">
        <v>14705432.190000003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45025</v>
      </c>
      <c r="B14" s="19"/>
      <c r="C14" s="20">
        <v>142555047.61000001</v>
      </c>
      <c r="F14" s="20">
        <v>6888869.8400000017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45032</v>
      </c>
      <c r="B15" s="19"/>
      <c r="C15" s="20">
        <v>136293263.81</v>
      </c>
      <c r="F15" s="20">
        <v>22130965.780000001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45039</v>
      </c>
      <c r="B16" s="19"/>
      <c r="C16" s="20">
        <v>150385975.01999998</v>
      </c>
      <c r="F16" s="20">
        <v>20737048.039999999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45046</v>
      </c>
      <c r="B17" s="19"/>
      <c r="C17" s="20">
        <v>150773362.21000001</v>
      </c>
      <c r="F17" s="20">
        <v>18048461.829999998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45053</v>
      </c>
      <c r="B18" s="19"/>
      <c r="C18" s="20">
        <v>137726028.77000001</v>
      </c>
      <c r="F18" s="20">
        <v>22291941.770000007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45060</v>
      </c>
      <c r="B19" s="19"/>
      <c r="C19" s="20">
        <v>127689363.72999999</v>
      </c>
      <c r="F19" s="20">
        <v>21443765.430000007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45067</v>
      </c>
      <c r="B20" s="19"/>
      <c r="C20" s="20">
        <v>123958470.51000001</v>
      </c>
      <c r="F20" s="20">
        <v>7377822.1799999997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45074</v>
      </c>
      <c r="B21" s="19"/>
      <c r="C21" s="20">
        <v>114257184.72999999</v>
      </c>
      <c r="F21" s="20">
        <v>19761502.789999999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45081</v>
      </c>
      <c r="B22" s="19"/>
      <c r="C22" s="20">
        <v>121058159.03999999</v>
      </c>
      <c r="F22" s="20">
        <v>12103408.509999994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45088</v>
      </c>
      <c r="B23" s="19"/>
      <c r="C23" s="20">
        <v>104812559.89999998</v>
      </c>
      <c r="F23" s="20">
        <v>12275120.629999999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45095</v>
      </c>
      <c r="B24" s="19"/>
      <c r="C24" s="20">
        <v>102230517.02</v>
      </c>
      <c r="F24" s="20">
        <v>11788054.740000002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45102</v>
      </c>
      <c r="B25" s="19"/>
      <c r="C25" s="20">
        <v>86807273.909999996</v>
      </c>
      <c r="F25" s="20">
        <v>8180147.0900000036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45109</v>
      </c>
      <c r="B26" s="19"/>
      <c r="C26" s="20">
        <v>88096632.450000003</v>
      </c>
      <c r="F26" s="20">
        <v>11829532.43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45116</v>
      </c>
      <c r="B27" s="19"/>
      <c r="C27" s="20">
        <v>94677863.680000007</v>
      </c>
      <c r="F27" s="20">
        <v>10700409.499999998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45123</v>
      </c>
      <c r="B28" s="19"/>
      <c r="C28" s="20">
        <v>63993245.68</v>
      </c>
      <c r="F28" s="20">
        <v>7631999.2400000012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45130</v>
      </c>
      <c r="B29" s="19"/>
      <c r="C29" s="20">
        <v>92606694.730000004</v>
      </c>
      <c r="F29" s="20">
        <v>11652207.74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45137</v>
      </c>
      <c r="B30" s="19"/>
      <c r="C30" s="20">
        <v>95211825.190000013</v>
      </c>
      <c r="F30" s="20">
        <v>4895156.6799999978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45144</v>
      </c>
      <c r="B31" s="19"/>
      <c r="C31" s="20">
        <v>99252423.299999997</v>
      </c>
      <c r="F31" s="20">
        <v>12233869.290000003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45151</v>
      </c>
      <c r="B32" s="19"/>
      <c r="C32" s="20">
        <v>87431662.939999998</v>
      </c>
      <c r="F32" s="20">
        <v>10484781.639999999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45158</v>
      </c>
      <c r="B33" s="19"/>
      <c r="C33" s="20">
        <v>87679654.299999997</v>
      </c>
      <c r="F33" s="20">
        <v>8908151.1699999981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45165</v>
      </c>
      <c r="B34" s="19"/>
      <c r="C34" s="20">
        <v>83732551.230000004</v>
      </c>
      <c r="F34" s="20">
        <v>9868052.9299999997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45172</v>
      </c>
      <c r="B35" s="19"/>
      <c r="C35" s="20">
        <v>122242389.31000002</v>
      </c>
      <c r="F35" s="20">
        <v>7289350.8199999984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45179</v>
      </c>
      <c r="B36" s="19"/>
      <c r="C36" s="20">
        <v>195516142.56999999</v>
      </c>
      <c r="F36" s="20">
        <v>32331054.060000017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45186</v>
      </c>
      <c r="B37" s="19"/>
      <c r="C37" s="20">
        <v>138978859.20000002</v>
      </c>
      <c r="F37" s="20">
        <v>10932231.45000001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45193</v>
      </c>
      <c r="B38" s="19"/>
      <c r="C38" s="20">
        <v>160145889.88999999</v>
      </c>
      <c r="F38" s="20">
        <v>14787844.950000005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45200</v>
      </c>
      <c r="B39" s="19"/>
      <c r="C39" s="20">
        <v>176812906.61000001</v>
      </c>
      <c r="F39" s="20">
        <v>15921095.269999988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45207</v>
      </c>
      <c r="B40" s="19"/>
      <c r="C40" s="20">
        <v>160627537.77999997</v>
      </c>
      <c r="F40" s="20">
        <v>12077942.790000003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45214</v>
      </c>
      <c r="B41" s="19"/>
      <c r="C41" s="20">
        <v>159940580.36000001</v>
      </c>
      <c r="F41" s="20">
        <v>29551594.900000006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45221</v>
      </c>
      <c r="B42" s="19"/>
      <c r="C42" s="20">
        <v>198714912.90000004</v>
      </c>
      <c r="F42" s="20">
        <v>20512375.890000001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45228</v>
      </c>
      <c r="B43" s="19"/>
      <c r="C43" s="20">
        <v>274702724.57999998</v>
      </c>
      <c r="F43" s="20">
        <v>13303137.829999994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45235</v>
      </c>
      <c r="B44" s="19"/>
      <c r="C44" s="20">
        <v>215293001.24000001</v>
      </c>
      <c r="F44" s="20">
        <v>20054129.410000008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45242</v>
      </c>
      <c r="B45" s="19"/>
      <c r="C45" s="20">
        <v>189913031.67000002</v>
      </c>
      <c r="F45" s="20">
        <v>21004401.129999999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45249</v>
      </c>
      <c r="B46" s="19"/>
      <c r="C46" s="20">
        <v>262287815.31999999</v>
      </c>
      <c r="F46" s="20">
        <v>18375419.110000003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45256</v>
      </c>
      <c r="B47" s="19"/>
      <c r="C47" s="20">
        <v>214764211.18999997</v>
      </c>
      <c r="F47" s="20">
        <v>11577606.669999979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45263</v>
      </c>
      <c r="B48" s="19"/>
      <c r="C48" s="20">
        <v>194664677.65000001</v>
      </c>
      <c r="F48" s="20">
        <v>12297755.890000006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45270</v>
      </c>
      <c r="B49" s="19"/>
      <c r="C49" s="20">
        <v>176893032.91999996</v>
      </c>
      <c r="F49" s="20">
        <v>27102678.45999999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45277</v>
      </c>
      <c r="B50" s="19"/>
      <c r="C50" s="20">
        <v>183382886.36999997</v>
      </c>
      <c r="F50" s="20">
        <v>19906575.23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45284</v>
      </c>
      <c r="B51" s="19"/>
      <c r="C51" s="20">
        <v>174667257.5</v>
      </c>
      <c r="F51" s="20">
        <v>22008284.519999988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45291</v>
      </c>
      <c r="B52" s="19"/>
      <c r="C52" s="20">
        <v>196898612.08999997</v>
      </c>
      <c r="F52" s="20">
        <v>16669206.930000011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45298</v>
      </c>
      <c r="B53" s="19"/>
      <c r="C53" s="20">
        <v>194756020.19999999</v>
      </c>
      <c r="F53" s="20">
        <v>19253219.669999998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45305</v>
      </c>
      <c r="B54" s="19"/>
      <c r="C54" s="20">
        <v>199951004.16</v>
      </c>
      <c r="F54" s="20">
        <v>33383092.629999999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45312</v>
      </c>
      <c r="B55" s="19"/>
      <c r="C55" s="20">
        <v>216135338.75999999</v>
      </c>
      <c r="F55" s="20">
        <v>25836352.529999997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45319</v>
      </c>
      <c r="B56" s="19"/>
      <c r="C56" s="20">
        <v>190453693.38999999</v>
      </c>
      <c r="F56" s="20">
        <v>21376107.180000007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45326</v>
      </c>
      <c r="B57" s="19"/>
      <c r="C57" s="20">
        <v>167360109.53999996</v>
      </c>
      <c r="F57" s="20">
        <v>21326721.360000007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45333</v>
      </c>
      <c r="B58" s="19"/>
      <c r="C58" s="20">
        <v>203893271.50999999</v>
      </c>
      <c r="F58" s="20">
        <v>8167984.8199999891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45340</v>
      </c>
      <c r="B59" s="19"/>
      <c r="C59" s="20">
        <v>161566516.11000001</v>
      </c>
      <c r="F59" s="20">
        <v>17214128.930000003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45347</v>
      </c>
      <c r="B60" s="19"/>
      <c r="C60" s="20">
        <v>157381179.52000001</v>
      </c>
      <c r="F60" s="20">
        <v>21061838.950000003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45354</v>
      </c>
      <c r="B61" s="19"/>
      <c r="C61" s="20">
        <v>183961993.99000001</v>
      </c>
      <c r="F61" s="20">
        <v>14794887.219999997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45361</v>
      </c>
      <c r="B62" s="19"/>
      <c r="C62" s="20">
        <v>184786638.22</v>
      </c>
      <c r="F62" s="20">
        <v>16459028.959999999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45368</v>
      </c>
      <c r="B63" s="19"/>
      <c r="C63" s="20">
        <v>178863633.47999999</v>
      </c>
      <c r="F63" s="20">
        <v>21297639.5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45375</v>
      </c>
      <c r="B64" s="19"/>
      <c r="C64" s="20">
        <v>244835752.83000001</v>
      </c>
      <c r="F64" s="20">
        <v>13967653.879999993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8102339370.3000002</v>
      </c>
      <c r="F67" s="35">
        <f>SUM(F13:F66)</f>
        <v>845778042.38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D98EF-608B-4484-ACBA-D6A28AE8756C}">
  <sheetPr>
    <pageSetUpPr fitToPage="1"/>
  </sheetPr>
  <dimension ref="A1:X207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13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44654</v>
      </c>
      <c r="B13" s="19"/>
      <c r="C13" s="20">
        <v>135723817.73000002</v>
      </c>
      <c r="F13" s="20">
        <v>3819999.1300000008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44661</v>
      </c>
      <c r="B14" s="19"/>
      <c r="C14" s="20">
        <v>142036677.42000002</v>
      </c>
      <c r="F14" s="20">
        <v>7956294.8100000005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44668</v>
      </c>
      <c r="B15" s="19"/>
      <c r="C15" s="20">
        <v>131793068.81999999</v>
      </c>
      <c r="F15" s="20">
        <v>22081850.089999992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44675</v>
      </c>
      <c r="B16" s="19"/>
      <c r="C16" s="20">
        <v>145319117.36000001</v>
      </c>
      <c r="F16" s="20">
        <v>21188729.479999997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44682</v>
      </c>
      <c r="B17" s="19"/>
      <c r="C17" s="20">
        <v>135643300.20999998</v>
      </c>
      <c r="F17" s="20">
        <v>9434226.4000000022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44689</v>
      </c>
      <c r="B18" s="19"/>
      <c r="C18" s="20">
        <v>145144112.53999999</v>
      </c>
      <c r="F18" s="20">
        <v>19370029.18999999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44696</v>
      </c>
      <c r="B19" s="19"/>
      <c r="C19" s="20">
        <v>120188666.06</v>
      </c>
      <c r="F19" s="20">
        <v>17647800.959999997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44703</v>
      </c>
      <c r="B20" s="19"/>
      <c r="C20" s="20">
        <v>114113942.65000001</v>
      </c>
      <c r="F20" s="20">
        <v>14738270.550000006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44710</v>
      </c>
      <c r="B21" s="19"/>
      <c r="C21" s="20">
        <v>121629979.94</v>
      </c>
      <c r="F21" s="20">
        <v>8378828.5099999979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44717</v>
      </c>
      <c r="B22" s="19"/>
      <c r="C22" s="20">
        <v>117247862.28</v>
      </c>
      <c r="F22" s="20">
        <v>6765992.1600000001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44724</v>
      </c>
      <c r="B23" s="19"/>
      <c r="C23" s="20">
        <v>109067610.5</v>
      </c>
      <c r="F23" s="20">
        <v>8814678.8299999926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44731</v>
      </c>
      <c r="B24" s="19"/>
      <c r="C24" s="20">
        <v>124900488.43000002</v>
      </c>
      <c r="F24" s="20">
        <v>12364944.050000003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44738</v>
      </c>
      <c r="B25" s="19"/>
      <c r="C25" s="20">
        <v>101537195.14</v>
      </c>
      <c r="F25" s="20">
        <v>7845800.5500000045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44745</v>
      </c>
      <c r="B26" s="19"/>
      <c r="C26" s="20">
        <v>93273267.179999992</v>
      </c>
      <c r="F26" s="20">
        <v>10563381.820000002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44752</v>
      </c>
      <c r="B27" s="19"/>
      <c r="C27" s="20">
        <v>80221826.109999999</v>
      </c>
      <c r="F27" s="20">
        <v>13778040.199999999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44759</v>
      </c>
      <c r="B28" s="19"/>
      <c r="C28" s="20">
        <v>76515687.609999999</v>
      </c>
      <c r="F28" s="20">
        <v>3351564.2399999984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44766</v>
      </c>
      <c r="B29" s="19"/>
      <c r="C29" s="20">
        <v>67282969.569999993</v>
      </c>
      <c r="F29" s="20">
        <v>4480760.8499999996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44773</v>
      </c>
      <c r="B30" s="19"/>
      <c r="C30" s="20">
        <v>79877586.239999995</v>
      </c>
      <c r="F30" s="20">
        <v>13018290.650000004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44780</v>
      </c>
      <c r="B31" s="19"/>
      <c r="C31" s="20">
        <v>84143469.030000001</v>
      </c>
      <c r="F31" s="20">
        <v>9853197.4599999934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44787</v>
      </c>
      <c r="B32" s="19"/>
      <c r="C32" s="20">
        <v>82615716.63000001</v>
      </c>
      <c r="F32" s="20">
        <v>10494947.109999998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44794</v>
      </c>
      <c r="B33" s="19"/>
      <c r="C33" s="20">
        <v>85456333.049999997</v>
      </c>
      <c r="F33" s="20">
        <v>12043779.84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44801</v>
      </c>
      <c r="B34" s="19"/>
      <c r="C34" s="20">
        <v>83722084.419999987</v>
      </c>
      <c r="F34" s="20">
        <v>8815077.8200000003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44808</v>
      </c>
      <c r="B35" s="19"/>
      <c r="C35" s="20">
        <v>106812938.81999999</v>
      </c>
      <c r="F35" s="20">
        <v>13116112.770000001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44815</v>
      </c>
      <c r="B36" s="19"/>
      <c r="C36" s="20">
        <v>128713121.59</v>
      </c>
      <c r="F36" s="20">
        <v>17152225.110000007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44822</v>
      </c>
      <c r="B37" s="19"/>
      <c r="C37" s="20">
        <v>109242865.71000001</v>
      </c>
      <c r="F37" s="20">
        <v>17633488.690000005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44829</v>
      </c>
      <c r="B38" s="19"/>
      <c r="C38" s="20">
        <v>122029798.33</v>
      </c>
      <c r="F38" s="20">
        <v>13318008.269999998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44836</v>
      </c>
      <c r="B39" s="19"/>
      <c r="C39" s="20">
        <v>127854600.99000001</v>
      </c>
      <c r="F39" s="20">
        <v>10407552.679999992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44843</v>
      </c>
      <c r="B40" s="19"/>
      <c r="C40" s="20">
        <v>123884382.8</v>
      </c>
      <c r="F40" s="20">
        <v>19501393.939999998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44850</v>
      </c>
      <c r="B41" s="19"/>
      <c r="C41" s="20">
        <v>126603133.21000001</v>
      </c>
      <c r="F41" s="20">
        <v>20231311.539999999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44857</v>
      </c>
      <c r="B42" s="19"/>
      <c r="C42" s="20">
        <v>145517906.69</v>
      </c>
      <c r="F42" s="20">
        <v>15213893.540000005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44864</v>
      </c>
      <c r="B43" s="19"/>
      <c r="C43" s="20">
        <v>140652403.74000001</v>
      </c>
      <c r="F43" s="20">
        <v>17982660.489999998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44871</v>
      </c>
      <c r="B44" s="19"/>
      <c r="C44" s="20">
        <v>142484157.32999998</v>
      </c>
      <c r="F44" s="20">
        <v>19938736.359999996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44878</v>
      </c>
      <c r="B45" s="19"/>
      <c r="C45" s="20">
        <v>140138145.77000001</v>
      </c>
      <c r="F45" s="20">
        <v>17345959.530000001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44885</v>
      </c>
      <c r="B46" s="19"/>
      <c r="C46" s="20">
        <v>144209843.41</v>
      </c>
      <c r="F46" s="20">
        <v>21961070.039999999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44892</v>
      </c>
      <c r="B47" s="19"/>
      <c r="C47" s="20">
        <v>181216921.20000002</v>
      </c>
      <c r="F47" s="20">
        <v>17220944.400000002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44899</v>
      </c>
      <c r="B48" s="19"/>
      <c r="C48" s="20">
        <v>151714670.31999999</v>
      </c>
      <c r="F48" s="20">
        <v>19035762.600000005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44906</v>
      </c>
      <c r="B49" s="19"/>
      <c r="C49" s="20">
        <v>141063484.69</v>
      </c>
      <c r="F49" s="20">
        <v>20787305.220000006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44913</v>
      </c>
      <c r="B50" s="19"/>
      <c r="C50" s="20">
        <v>143741375.99000001</v>
      </c>
      <c r="F50" s="20">
        <v>3994315.76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44920</v>
      </c>
      <c r="B51" s="19"/>
      <c r="C51" s="20">
        <v>151416609.15000001</v>
      </c>
      <c r="F51" s="20">
        <v>19546514.720000003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44927</v>
      </c>
      <c r="B52" s="19"/>
      <c r="C52" s="20">
        <v>160249037.05000001</v>
      </c>
      <c r="F52" s="20">
        <v>12412468.32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44934</v>
      </c>
      <c r="B53" s="19"/>
      <c r="C53" s="20">
        <v>158423854.15000001</v>
      </c>
      <c r="F53" s="20">
        <v>15613883.940000014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44941</v>
      </c>
      <c r="B54" s="19"/>
      <c r="C54" s="20">
        <v>171986295.50999999</v>
      </c>
      <c r="F54" s="20">
        <v>18643518.700000003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44948</v>
      </c>
      <c r="B55" s="19"/>
      <c r="C55" s="20">
        <v>182396199.94000003</v>
      </c>
      <c r="F55" s="20">
        <v>26569171.220000003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44955</v>
      </c>
      <c r="B56" s="19"/>
      <c r="C56" s="20">
        <v>146790117.75999999</v>
      </c>
      <c r="F56" s="20">
        <v>13485651.500000002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44962</v>
      </c>
      <c r="B57" s="19"/>
      <c r="C57" s="20">
        <v>135952024.24000001</v>
      </c>
      <c r="F57" s="20">
        <v>20199470.479999997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44969</v>
      </c>
      <c r="B58" s="19"/>
      <c r="C58" s="20">
        <v>165395489.51000002</v>
      </c>
      <c r="F58" s="20">
        <v>9206199.2199999951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44976</v>
      </c>
      <c r="B59" s="19"/>
      <c r="C59" s="20">
        <v>137035272.89999998</v>
      </c>
      <c r="F59" s="20">
        <v>11318765.9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44983</v>
      </c>
      <c r="B60" s="19"/>
      <c r="C60" s="20">
        <v>146476691.21999997</v>
      </c>
      <c r="F60" s="20">
        <v>11738180.710000001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44990</v>
      </c>
      <c r="B61" s="19"/>
      <c r="C61" s="20">
        <v>169289508.44</v>
      </c>
      <c r="F61" s="20">
        <v>8817211.5699999966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44997</v>
      </c>
      <c r="B62" s="19"/>
      <c r="C62" s="20">
        <v>185049831</v>
      </c>
      <c r="F62" s="20">
        <v>20864775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45004</v>
      </c>
      <c r="B63" s="19"/>
      <c r="C63" s="20">
        <v>188336202</v>
      </c>
      <c r="F63" s="20">
        <v>19502132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45011</v>
      </c>
      <c r="B64" s="19"/>
      <c r="C64" s="20">
        <v>155675749.77999997</v>
      </c>
      <c r="F64" s="20">
        <v>24452580.900000002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5" t="s">
        <v>1</v>
      </c>
      <c r="C66" s="23">
        <f>SUM(C13:C65)</f>
        <v>6807807412.1599989</v>
      </c>
      <c r="F66" s="35">
        <f>SUM(F13:F65)</f>
        <v>744017749.82000029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8" t="s">
        <v>9</v>
      </c>
      <c r="B69" s="38"/>
      <c r="C69" s="38"/>
      <c r="D69" s="38"/>
      <c r="E69" s="38"/>
      <c r="F69" s="38"/>
      <c r="G69" s="38"/>
      <c r="H69" s="38"/>
      <c r="I69" s="38"/>
      <c r="J69" s="38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8" t="s">
        <v>11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10</v>
      </c>
      <c r="B71" s="39"/>
      <c r="C71" s="39"/>
      <c r="D71" s="39"/>
      <c r="E71" s="39"/>
      <c r="F71" s="39"/>
      <c r="G71" s="39"/>
      <c r="H71" s="39"/>
      <c r="I71" s="39"/>
      <c r="J71" s="39"/>
      <c r="K71"/>
      <c r="L71"/>
      <c r="M71"/>
      <c r="N71"/>
      <c r="O71"/>
      <c r="P71"/>
      <c r="Q71"/>
      <c r="R71"/>
      <c r="S71"/>
    </row>
    <row r="72" spans="1:19" x14ac:dyDescent="0.25">
      <c r="G72" s="21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s="24" customFormat="1" x14ac:dyDescent="0.25">
      <c r="B103" s="5"/>
      <c r="C103" s="20"/>
      <c r="D103" s="20"/>
      <c r="E103" s="20"/>
      <c r="F103" s="20"/>
      <c r="G103" s="20"/>
      <c r="H103" s="20"/>
      <c r="I103" s="20"/>
      <c r="J103" s="21"/>
      <c r="K103" s="20"/>
      <c r="M103" s="21"/>
      <c r="N103" s="20"/>
      <c r="O103" s="20"/>
      <c r="P103" s="20"/>
      <c r="Q103" s="20"/>
      <c r="R103" s="20"/>
      <c r="S103" s="20"/>
    </row>
    <row r="104" spans="2:21" s="24" customFormat="1" x14ac:dyDescent="0.25">
      <c r="B104" s="5"/>
      <c r="C104" s="20"/>
      <c r="D104" s="20"/>
      <c r="E104" s="20"/>
      <c r="F104" s="20"/>
      <c r="G104" s="20"/>
      <c r="H104" s="26"/>
      <c r="I104" s="26"/>
      <c r="J104" s="27"/>
      <c r="K104" s="26"/>
      <c r="M104" s="21"/>
      <c r="N104" s="20"/>
      <c r="O104" s="20"/>
      <c r="P104" s="20"/>
      <c r="Q104" s="20"/>
      <c r="R104" s="20"/>
      <c r="S104" s="20"/>
    </row>
    <row r="105" spans="2:21" x14ac:dyDescent="0.25">
      <c r="I105" s="21"/>
      <c r="L105" s="20"/>
      <c r="M105" s="20"/>
      <c r="T105" s="20"/>
      <c r="U105" s="20"/>
    </row>
    <row r="106" spans="2:21" x14ac:dyDescent="0.25">
      <c r="I106" s="21"/>
      <c r="L106" s="26"/>
      <c r="M106" s="26"/>
      <c r="N106" s="26"/>
      <c r="O106" s="26"/>
      <c r="P106" s="26"/>
      <c r="Q106" s="26"/>
      <c r="R106" s="26"/>
      <c r="T106" s="20"/>
      <c r="U106" s="20"/>
    </row>
    <row r="107" spans="2:21" x14ac:dyDescent="0.25">
      <c r="I107" s="21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s="20" customFormat="1" x14ac:dyDescent="0.25">
      <c r="B117" s="5"/>
      <c r="I117" s="21"/>
      <c r="L117" s="21"/>
      <c r="M117" s="21"/>
      <c r="T117"/>
      <c r="U117"/>
      <c r="V117"/>
      <c r="W117"/>
      <c r="X117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8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D24" sqref="D24"/>
    </sheetView>
  </sheetViews>
  <sheetFormatPr defaultRowHeight="15" x14ac:dyDescent="0.25"/>
  <cols>
    <col min="1" max="1" width="11.85546875" style="5" customWidth="1"/>
    <col min="2" max="2" width="15.140625" style="20" customWidth="1"/>
    <col min="3" max="3" width="6" style="20" customWidth="1"/>
    <col min="4" max="4" width="12.85546875" style="20" bestFit="1" customWidth="1"/>
    <col min="5" max="5" width="8.28515625" style="20" customWidth="1"/>
    <col min="6" max="6" width="8.140625" style="20" customWidth="1"/>
    <col min="7" max="7" width="2.5703125" style="20" customWidth="1"/>
    <col min="8" max="8" width="7.7109375" style="20" customWidth="1"/>
    <col min="9" max="9" width="12.85546875" style="20" customWidth="1"/>
    <col min="10" max="10" width="11.570312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8" x14ac:dyDescent="0.25">
      <c r="A2" s="30"/>
      <c r="B2" s="30"/>
      <c r="C2" s="30"/>
      <c r="D2" s="30"/>
      <c r="E2" s="30"/>
      <c r="F2" s="3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4"/>
      <c r="U4" s="4"/>
      <c r="V4" s="4"/>
      <c r="W4" s="4"/>
      <c r="X4" s="4"/>
    </row>
    <row r="5" spans="1:24" s="2" customFormat="1" x14ac:dyDescent="0.25">
      <c r="A5" s="5"/>
      <c r="B5" s="6"/>
      <c r="C5" s="6"/>
      <c r="D5" s="7"/>
      <c r="E5" s="7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40" t="s">
        <v>8</v>
      </c>
      <c r="B6" s="41"/>
      <c r="C6" s="41"/>
      <c r="D6" s="41"/>
      <c r="E6" s="42"/>
      <c r="F6" s="29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ht="9" customHeight="1" x14ac:dyDescent="0.25">
      <c r="A7" s="5"/>
      <c r="B7" s="6"/>
      <c r="C7" s="6"/>
      <c r="D7" s="7"/>
      <c r="E7" s="7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25.5" customHeight="1" x14ac:dyDescent="0.2">
      <c r="A8" s="37" t="s">
        <v>7</v>
      </c>
      <c r="B8" s="37"/>
      <c r="C8" s="37"/>
      <c r="D8" s="37"/>
      <c r="E8" s="37"/>
      <c r="F8" s="37"/>
    </row>
    <row r="9" spans="1:24" s="12" customFormat="1" ht="8.25" customHeight="1" x14ac:dyDescent="0.2">
      <c r="A9" s="33"/>
      <c r="B9" s="33"/>
      <c r="C9" s="33"/>
      <c r="D9" s="33"/>
      <c r="E9" s="33"/>
      <c r="F9" s="33"/>
    </row>
    <row r="10" spans="1:24" s="12" customFormat="1" ht="12.75" x14ac:dyDescent="0.2">
      <c r="A10" s="10"/>
      <c r="B10" s="14" t="s">
        <v>6</v>
      </c>
      <c r="C10" s="14"/>
      <c r="D10" s="14" t="s">
        <v>6</v>
      </c>
      <c r="E10" s="14"/>
      <c r="F10" s="11"/>
      <c r="G10" s="11"/>
    </row>
    <row r="11" spans="1:24" s="16" customFormat="1" ht="12.75" customHeight="1" x14ac:dyDescent="0.2">
      <c r="A11" s="15"/>
      <c r="B11" s="13" t="s">
        <v>0</v>
      </c>
      <c r="C11" s="13"/>
      <c r="D11" s="13" t="s">
        <v>0</v>
      </c>
      <c r="E11" s="13"/>
      <c r="F11" s="13"/>
      <c r="G11" s="13"/>
    </row>
    <row r="12" spans="1:24" s="16" customFormat="1" ht="12.75" customHeight="1" x14ac:dyDescent="0.2">
      <c r="A12" s="17" t="s">
        <v>2</v>
      </c>
      <c r="B12" s="18" t="s">
        <v>4</v>
      </c>
      <c r="C12" s="18"/>
      <c r="D12" s="18" t="s">
        <v>3</v>
      </c>
      <c r="E12" s="18"/>
      <c r="F12" s="13"/>
      <c r="G12" s="13"/>
    </row>
    <row r="13" spans="1:24" x14ac:dyDescent="0.25">
      <c r="A13" s="19">
        <v>44570</v>
      </c>
      <c r="B13" s="20">
        <v>63236093.299999997</v>
      </c>
      <c r="D13" s="22">
        <v>-2725965.1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19">
        <f t="shared" ref="A14:A24" si="0">A13+7</f>
        <v>44577</v>
      </c>
      <c r="B14" s="20">
        <v>137115792.28999999</v>
      </c>
      <c r="D14" s="22">
        <v>16866763.890000001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19">
        <f t="shared" si="0"/>
        <v>44584</v>
      </c>
      <c r="B15" s="20">
        <v>159653475.81</v>
      </c>
      <c r="D15" s="22">
        <v>10038211.92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44591</v>
      </c>
      <c r="B16" s="20">
        <v>141786622.33000001</v>
      </c>
      <c r="D16" s="22">
        <v>-564868.47000000812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44598</v>
      </c>
      <c r="B17" s="20">
        <v>130256762.83</v>
      </c>
      <c r="D17" s="22">
        <v>6632390.5999999996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44605</v>
      </c>
      <c r="B18" s="20">
        <v>175437706.06999999</v>
      </c>
      <c r="D18" s="22">
        <v>-2726650.4100000057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44612</v>
      </c>
      <c r="B19" s="20">
        <v>130615126.74000001</v>
      </c>
      <c r="D19" s="22">
        <v>12298065.27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44619</v>
      </c>
      <c r="B20" s="20">
        <v>131988617.39999999</v>
      </c>
      <c r="D20" s="22">
        <v>10438399.420000002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44626</v>
      </c>
      <c r="B21" s="20">
        <v>145617445.52000001</v>
      </c>
      <c r="D21" s="22">
        <v>18013929.030000001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44633</v>
      </c>
      <c r="B22" s="20">
        <v>173049082.57000002</v>
      </c>
      <c r="D22" s="22">
        <v>17546356.140000001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44640</v>
      </c>
      <c r="B23" s="20">
        <v>167953379.16</v>
      </c>
      <c r="D23" s="22">
        <v>14665422.319999998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44647</v>
      </c>
      <c r="B24" s="20">
        <v>133100094.97000001</v>
      </c>
      <c r="D24" s="22">
        <v>9530286.8399999943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5" t="s">
        <v>1</v>
      </c>
      <c r="B25" s="23">
        <f>SUM(B13:B24)</f>
        <v>1689810198.9900002</v>
      </c>
      <c r="D25" s="32">
        <f>SUM(D13:D24)</f>
        <v>110012341.44999997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3" t="s">
        <v>9</v>
      </c>
      <c r="B28" s="43"/>
      <c r="C28" s="43"/>
      <c r="D28" s="43"/>
      <c r="E28" s="43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3" t="s">
        <v>11</v>
      </c>
      <c r="B29" s="43"/>
      <c r="C29" s="43"/>
      <c r="D29" s="43"/>
      <c r="E29" s="43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26.25" customHeight="1" x14ac:dyDescent="0.25">
      <c r="A30" s="45" t="s">
        <v>12</v>
      </c>
      <c r="B30" s="45"/>
      <c r="C30" s="45"/>
      <c r="D30" s="45"/>
      <c r="E30" s="45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29.25" customHeight="1" x14ac:dyDescent="0.25">
      <c r="A31" s="44" t="s">
        <v>10</v>
      </c>
      <c r="B31" s="44"/>
      <c r="C31" s="44"/>
      <c r="D31" s="44"/>
      <c r="E31" s="44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ht="29.25" customHeight="1" x14ac:dyDescent="0.25">
      <c r="E32" s="21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1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1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1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1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1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1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1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1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1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1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1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1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1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1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1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G62" s="24"/>
      <c r="H62" s="21"/>
      <c r="L62"/>
      <c r="M62"/>
      <c r="N62"/>
      <c r="O62"/>
      <c r="P62"/>
      <c r="Q62"/>
      <c r="R62"/>
      <c r="S62"/>
    </row>
    <row r="63" spans="1:19" x14ac:dyDescent="0.25">
      <c r="G63" s="24"/>
      <c r="H63" s="21"/>
      <c r="L63"/>
      <c r="M63"/>
      <c r="N63"/>
      <c r="O63"/>
      <c r="P63"/>
      <c r="Q63"/>
      <c r="R63"/>
      <c r="S63"/>
    </row>
    <row r="64" spans="1:19" s="24" customFormat="1" x14ac:dyDescent="0.25">
      <c r="A64" s="5"/>
      <c r="B64" s="20"/>
      <c r="C64" s="20"/>
      <c r="D64" s="20"/>
      <c r="E64" s="20"/>
      <c r="F64" s="20"/>
      <c r="G64" s="20"/>
      <c r="H64" s="20"/>
      <c r="I64" s="21"/>
      <c r="J64" s="20"/>
      <c r="K64" s="20"/>
      <c r="M64" s="21"/>
      <c r="N64" s="20"/>
      <c r="O64" s="20"/>
      <c r="P64" s="20"/>
      <c r="Q64" s="20"/>
      <c r="R64" s="20"/>
      <c r="S64" s="20"/>
    </row>
    <row r="65" spans="1:24" s="24" customFormat="1" x14ac:dyDescent="0.25">
      <c r="A65" s="5"/>
      <c r="B65" s="20"/>
      <c r="C65" s="20"/>
      <c r="D65" s="20"/>
      <c r="E65" s="20"/>
      <c r="F65" s="20"/>
      <c r="G65" s="26"/>
      <c r="H65" s="26"/>
      <c r="I65" s="27"/>
      <c r="J65" s="26"/>
      <c r="K65" s="26"/>
      <c r="M65" s="21"/>
      <c r="N65" s="20"/>
      <c r="O65" s="20"/>
      <c r="P65" s="20"/>
      <c r="Q65" s="20"/>
      <c r="R65" s="20"/>
      <c r="S65" s="20"/>
    </row>
    <row r="66" spans="1:24" x14ac:dyDescent="0.25">
      <c r="H66" s="21"/>
      <c r="L66" s="20"/>
      <c r="M66" s="20"/>
      <c r="T66" s="20"/>
      <c r="U66" s="20"/>
    </row>
    <row r="67" spans="1:24" x14ac:dyDescent="0.25">
      <c r="H67" s="21"/>
      <c r="L67" s="26"/>
      <c r="M67" s="26"/>
      <c r="N67" s="26"/>
      <c r="O67" s="26"/>
      <c r="P67" s="26"/>
      <c r="Q67" s="26"/>
      <c r="R67" s="26"/>
      <c r="T67" s="20"/>
      <c r="U67" s="20"/>
    </row>
    <row r="68" spans="1:24" x14ac:dyDescent="0.25">
      <c r="H68" s="21"/>
    </row>
    <row r="69" spans="1:24" x14ac:dyDescent="0.25">
      <c r="H69" s="21"/>
    </row>
    <row r="70" spans="1:24" x14ac:dyDescent="0.25">
      <c r="H70" s="21"/>
    </row>
    <row r="71" spans="1:24" x14ac:dyDescent="0.25">
      <c r="H71" s="21"/>
    </row>
    <row r="72" spans="1:24" x14ac:dyDescent="0.25">
      <c r="H72" s="21"/>
    </row>
    <row r="73" spans="1:24" x14ac:dyDescent="0.25">
      <c r="H73" s="21"/>
    </row>
    <row r="74" spans="1:24" x14ac:dyDescent="0.25">
      <c r="H74" s="21"/>
    </row>
    <row r="75" spans="1:24" x14ac:dyDescent="0.25">
      <c r="H75" s="21"/>
    </row>
    <row r="76" spans="1:24" x14ac:dyDescent="0.25">
      <c r="H76" s="21"/>
    </row>
    <row r="77" spans="1:24" x14ac:dyDescent="0.25">
      <c r="H77" s="21"/>
    </row>
    <row r="78" spans="1:24" s="20" customFormat="1" x14ac:dyDescent="0.25">
      <c r="A78" s="5"/>
      <c r="H78" s="21"/>
      <c r="L78" s="21"/>
      <c r="M78" s="21"/>
      <c r="T78"/>
      <c r="U78"/>
      <c r="V78"/>
      <c r="W78"/>
      <c r="X78"/>
    </row>
    <row r="79" spans="1:24" s="20" customFormat="1" x14ac:dyDescent="0.25">
      <c r="A79" s="5"/>
      <c r="H79" s="21"/>
      <c r="L79" s="21"/>
      <c r="M79" s="21"/>
      <c r="T79"/>
      <c r="U79"/>
      <c r="V79"/>
      <c r="W79"/>
      <c r="X79"/>
    </row>
    <row r="80" spans="1:24" s="20" customFormat="1" x14ac:dyDescent="0.25">
      <c r="A80" s="5"/>
      <c r="H80" s="21"/>
      <c r="L80" s="21"/>
      <c r="M80" s="21"/>
      <c r="T80"/>
      <c r="U80"/>
      <c r="V80"/>
      <c r="W80"/>
      <c r="X80"/>
    </row>
    <row r="81" spans="1:24" s="20" customFormat="1" x14ac:dyDescent="0.25">
      <c r="A81" s="5"/>
      <c r="H81" s="21"/>
      <c r="L81" s="21"/>
      <c r="M81" s="21"/>
      <c r="T81"/>
      <c r="U81"/>
      <c r="V81"/>
      <c r="W81"/>
      <c r="X81"/>
    </row>
    <row r="82" spans="1:24" s="20" customFormat="1" x14ac:dyDescent="0.25">
      <c r="A82" s="5"/>
      <c r="H82" s="21"/>
      <c r="L82" s="21"/>
      <c r="M82" s="21"/>
      <c r="T82"/>
      <c r="U82"/>
      <c r="V82"/>
      <c r="W82"/>
      <c r="X82"/>
    </row>
    <row r="83" spans="1:24" s="20" customFormat="1" x14ac:dyDescent="0.25">
      <c r="A83" s="5"/>
      <c r="H83" s="21"/>
      <c r="L83" s="21"/>
      <c r="M83" s="21"/>
      <c r="T83"/>
      <c r="U83"/>
      <c r="V83"/>
      <c r="W83"/>
      <c r="X83"/>
    </row>
    <row r="84" spans="1:24" s="20" customFormat="1" x14ac:dyDescent="0.25">
      <c r="A84" s="5"/>
      <c r="H84" s="21"/>
      <c r="L84" s="21"/>
      <c r="M84" s="21"/>
      <c r="T84"/>
      <c r="U84"/>
      <c r="V84"/>
      <c r="W84"/>
      <c r="X84"/>
    </row>
    <row r="85" spans="1:24" s="20" customFormat="1" x14ac:dyDescent="0.25">
      <c r="A85" s="5"/>
      <c r="H85" s="21"/>
      <c r="L85" s="21"/>
      <c r="M85" s="21"/>
      <c r="T85"/>
      <c r="U85"/>
      <c r="V85"/>
      <c r="W85"/>
      <c r="X85"/>
    </row>
    <row r="86" spans="1:24" s="20" customFormat="1" x14ac:dyDescent="0.25">
      <c r="A86" s="5"/>
      <c r="H86" s="21"/>
      <c r="L86" s="21"/>
      <c r="M86" s="21"/>
      <c r="T86"/>
      <c r="U86"/>
      <c r="V86"/>
      <c r="W86"/>
      <c r="X86"/>
    </row>
    <row r="87" spans="1:24" s="20" customFormat="1" x14ac:dyDescent="0.25">
      <c r="A87" s="5"/>
      <c r="H87" s="21"/>
      <c r="L87" s="21"/>
      <c r="M87" s="21"/>
      <c r="T87"/>
      <c r="U87"/>
      <c r="V87"/>
      <c r="W87"/>
      <c r="X87"/>
    </row>
    <row r="88" spans="1:24" s="20" customFormat="1" x14ac:dyDescent="0.25">
      <c r="A88" s="5"/>
      <c r="H88" s="21"/>
      <c r="L88" s="21"/>
      <c r="M88" s="21"/>
      <c r="T88"/>
      <c r="U88"/>
      <c r="V88"/>
      <c r="W88"/>
      <c r="X88"/>
    </row>
    <row r="89" spans="1:24" s="20" customFormat="1" x14ac:dyDescent="0.25">
      <c r="A89" s="5"/>
      <c r="H89" s="21"/>
      <c r="L89" s="21"/>
      <c r="M89" s="21"/>
      <c r="T89"/>
      <c r="U89"/>
      <c r="V89"/>
      <c r="W89"/>
      <c r="X89"/>
    </row>
    <row r="90" spans="1:24" s="20" customFormat="1" x14ac:dyDescent="0.25">
      <c r="A90" s="5"/>
      <c r="H90" s="21"/>
      <c r="L90" s="21"/>
      <c r="M90" s="21"/>
      <c r="T90"/>
      <c r="U90"/>
      <c r="V90"/>
      <c r="W90"/>
      <c r="X90"/>
    </row>
    <row r="91" spans="1:24" s="20" customFormat="1" x14ac:dyDescent="0.25">
      <c r="A91" s="5"/>
      <c r="H91" s="21"/>
      <c r="L91" s="21"/>
      <c r="M91" s="21"/>
      <c r="T91"/>
      <c r="U91"/>
      <c r="V91"/>
      <c r="W91"/>
      <c r="X91"/>
    </row>
    <row r="92" spans="1:24" s="20" customFormat="1" x14ac:dyDescent="0.25">
      <c r="A92" s="5"/>
      <c r="H92" s="21"/>
      <c r="L92" s="21"/>
      <c r="M92" s="21"/>
      <c r="T92"/>
      <c r="U92"/>
      <c r="V92"/>
      <c r="W92"/>
      <c r="X92"/>
    </row>
    <row r="93" spans="1:24" s="20" customFormat="1" x14ac:dyDescent="0.25">
      <c r="A93" s="5"/>
      <c r="H93" s="21"/>
      <c r="L93" s="21"/>
      <c r="M93" s="21"/>
      <c r="T93"/>
      <c r="U93"/>
      <c r="V93"/>
      <c r="W93"/>
      <c r="X93"/>
    </row>
    <row r="94" spans="1:24" s="20" customFormat="1" x14ac:dyDescent="0.25">
      <c r="A94" s="5"/>
      <c r="H94" s="21"/>
      <c r="L94" s="21"/>
      <c r="M94" s="21"/>
      <c r="T94"/>
      <c r="U94"/>
      <c r="V94"/>
      <c r="W94"/>
      <c r="X94"/>
    </row>
    <row r="95" spans="1:24" s="20" customFormat="1" x14ac:dyDescent="0.25">
      <c r="A95" s="5"/>
      <c r="H95" s="21"/>
      <c r="L95" s="21"/>
      <c r="M95" s="21"/>
      <c r="T95"/>
      <c r="U95"/>
      <c r="V95"/>
      <c r="W95"/>
      <c r="X95"/>
    </row>
    <row r="96" spans="1:24" s="20" customFormat="1" x14ac:dyDescent="0.25">
      <c r="A96" s="5"/>
      <c r="H96" s="21"/>
      <c r="L96" s="21"/>
      <c r="M96" s="21"/>
      <c r="T96"/>
      <c r="U96"/>
      <c r="V96"/>
      <c r="W96"/>
      <c r="X96"/>
    </row>
    <row r="97" spans="1:24" s="20" customFormat="1" x14ac:dyDescent="0.25">
      <c r="A97" s="5"/>
      <c r="H97" s="21"/>
      <c r="L97" s="21"/>
      <c r="M97" s="21"/>
      <c r="T97"/>
      <c r="U97"/>
      <c r="V97"/>
      <c r="W97"/>
      <c r="X97"/>
    </row>
    <row r="98" spans="1:24" s="20" customFormat="1" x14ac:dyDescent="0.25">
      <c r="A98" s="5"/>
      <c r="H98" s="21"/>
      <c r="L98" s="21"/>
      <c r="M98" s="21"/>
      <c r="T98"/>
      <c r="U98"/>
      <c r="V98"/>
      <c r="W98"/>
      <c r="X98"/>
    </row>
    <row r="99" spans="1:24" s="20" customFormat="1" x14ac:dyDescent="0.25">
      <c r="A99" s="5"/>
      <c r="H99" s="21"/>
      <c r="L99" s="21"/>
      <c r="M99" s="21"/>
      <c r="T99"/>
      <c r="U99"/>
      <c r="V99"/>
      <c r="W99"/>
      <c r="X99"/>
    </row>
    <row r="100" spans="1:24" s="20" customFormat="1" x14ac:dyDescent="0.25">
      <c r="A100" s="5"/>
      <c r="H100" s="21"/>
      <c r="L100" s="21"/>
      <c r="M100" s="21"/>
      <c r="T100"/>
      <c r="U100"/>
      <c r="V100"/>
      <c r="W100"/>
      <c r="X100"/>
    </row>
    <row r="101" spans="1:24" s="20" customFormat="1" x14ac:dyDescent="0.25">
      <c r="A101" s="5"/>
      <c r="H101" s="21"/>
      <c r="L101" s="21"/>
      <c r="M101" s="21"/>
      <c r="T101"/>
      <c r="U101"/>
      <c r="V101"/>
      <c r="W101"/>
      <c r="X101"/>
    </row>
    <row r="102" spans="1:24" s="20" customFormat="1" x14ac:dyDescent="0.25">
      <c r="A102" s="5"/>
      <c r="H102" s="21"/>
      <c r="L102" s="21"/>
      <c r="M102" s="21"/>
      <c r="T102"/>
      <c r="U102"/>
      <c r="V102"/>
      <c r="W102"/>
      <c r="X102"/>
    </row>
    <row r="103" spans="1:24" s="20" customFormat="1" x14ac:dyDescent="0.25">
      <c r="A103" s="5"/>
      <c r="H103" s="21"/>
      <c r="L103" s="21"/>
      <c r="M103" s="21"/>
      <c r="T103"/>
      <c r="U103"/>
      <c r="V103"/>
      <c r="W103"/>
      <c r="X103"/>
    </row>
    <row r="104" spans="1:24" s="20" customFormat="1" x14ac:dyDescent="0.25">
      <c r="A104" s="5"/>
      <c r="H104" s="21"/>
      <c r="L104" s="21"/>
      <c r="M104" s="21"/>
      <c r="T104"/>
      <c r="U104"/>
      <c r="V104"/>
      <c r="W104"/>
      <c r="X104"/>
    </row>
    <row r="105" spans="1:24" s="20" customFormat="1" x14ac:dyDescent="0.25">
      <c r="A105" s="5"/>
      <c r="H105" s="21"/>
      <c r="L105" s="21"/>
      <c r="M105" s="21"/>
      <c r="T105"/>
      <c r="U105"/>
      <c r="V105"/>
      <c r="W105"/>
      <c r="X105"/>
    </row>
    <row r="106" spans="1:24" s="20" customFormat="1" x14ac:dyDescent="0.25">
      <c r="A106" s="5"/>
      <c r="H106" s="21"/>
      <c r="L106" s="21"/>
      <c r="M106" s="21"/>
      <c r="T106"/>
      <c r="U106"/>
      <c r="V106"/>
      <c r="W106"/>
      <c r="X106"/>
    </row>
    <row r="107" spans="1:24" s="20" customFormat="1" x14ac:dyDescent="0.25">
      <c r="A107" s="5"/>
      <c r="H107" s="21"/>
      <c r="L107" s="21"/>
      <c r="M107" s="21"/>
      <c r="T107"/>
      <c r="U107"/>
      <c r="V107"/>
      <c r="W107"/>
      <c r="X107"/>
    </row>
    <row r="108" spans="1:24" s="20" customFormat="1" x14ac:dyDescent="0.25">
      <c r="A108" s="5"/>
      <c r="H108" s="21"/>
      <c r="L108" s="21"/>
      <c r="M108" s="21"/>
      <c r="T108"/>
      <c r="U108"/>
      <c r="V108"/>
      <c r="W108"/>
      <c r="X108"/>
    </row>
    <row r="109" spans="1:24" s="20" customFormat="1" x14ac:dyDescent="0.25">
      <c r="A109" s="5"/>
      <c r="H109" s="21"/>
      <c r="L109" s="21"/>
      <c r="M109" s="21"/>
      <c r="T109"/>
      <c r="U109"/>
      <c r="V109"/>
      <c r="W109"/>
      <c r="X109"/>
    </row>
    <row r="110" spans="1:24" s="20" customFormat="1" x14ac:dyDescent="0.25">
      <c r="A110" s="5"/>
      <c r="H110" s="21"/>
      <c r="L110" s="21"/>
      <c r="M110" s="21"/>
      <c r="T110"/>
      <c r="U110"/>
      <c r="V110"/>
      <c r="W110"/>
      <c r="X110"/>
    </row>
    <row r="111" spans="1:24" s="20" customFormat="1" x14ac:dyDescent="0.25">
      <c r="A111" s="5"/>
      <c r="H111" s="21"/>
      <c r="L111" s="21"/>
      <c r="M111" s="21"/>
      <c r="T111"/>
      <c r="U111"/>
      <c r="V111"/>
      <c r="W111"/>
      <c r="X111"/>
    </row>
    <row r="112" spans="1:24" s="20" customFormat="1" x14ac:dyDescent="0.25">
      <c r="A112" s="5"/>
      <c r="H112" s="21"/>
      <c r="L112" s="21"/>
      <c r="M112" s="21"/>
      <c r="T112"/>
      <c r="U112"/>
      <c r="V112"/>
      <c r="W112"/>
      <c r="X112"/>
    </row>
    <row r="113" spans="1:24" s="20" customFormat="1" x14ac:dyDescent="0.25">
      <c r="A113" s="5"/>
      <c r="H113" s="21"/>
      <c r="L113" s="21"/>
      <c r="M113" s="21"/>
      <c r="T113"/>
      <c r="U113"/>
      <c r="V113"/>
      <c r="W113"/>
      <c r="X113"/>
    </row>
    <row r="114" spans="1:24" s="20" customFormat="1" x14ac:dyDescent="0.25">
      <c r="A114" s="5"/>
      <c r="H114" s="21"/>
      <c r="L114" s="21"/>
      <c r="M114" s="21"/>
      <c r="T114"/>
      <c r="U114"/>
      <c r="V114"/>
      <c r="W114"/>
      <c r="X114"/>
    </row>
    <row r="115" spans="1:24" s="20" customFormat="1" x14ac:dyDescent="0.25">
      <c r="A115" s="5"/>
      <c r="H115" s="21"/>
      <c r="L115" s="21"/>
      <c r="M115" s="21"/>
      <c r="T115"/>
      <c r="U115"/>
      <c r="V115"/>
      <c r="W115"/>
      <c r="X115"/>
    </row>
    <row r="116" spans="1:24" s="20" customFormat="1" x14ac:dyDescent="0.25">
      <c r="A116" s="5"/>
      <c r="H116" s="21"/>
      <c r="L116" s="21"/>
      <c r="M116" s="21"/>
      <c r="T116"/>
      <c r="U116"/>
      <c r="V116"/>
      <c r="W116"/>
      <c r="X116"/>
    </row>
    <row r="117" spans="1:24" s="20" customFormat="1" x14ac:dyDescent="0.25">
      <c r="A117" s="5"/>
      <c r="H117" s="21"/>
      <c r="L117" s="21"/>
      <c r="M117" s="21"/>
      <c r="T117"/>
      <c r="U117"/>
      <c r="V117"/>
      <c r="W117"/>
      <c r="X117"/>
    </row>
    <row r="118" spans="1:24" s="20" customFormat="1" x14ac:dyDescent="0.25">
      <c r="A118" s="5"/>
      <c r="H118" s="21"/>
      <c r="L118" s="21"/>
      <c r="M118" s="21"/>
      <c r="T118"/>
      <c r="U118"/>
      <c r="V118"/>
      <c r="W118"/>
      <c r="X118"/>
    </row>
    <row r="119" spans="1:24" s="20" customFormat="1" x14ac:dyDescent="0.25">
      <c r="A119" s="5"/>
      <c r="H119" s="21"/>
      <c r="L119" s="21"/>
      <c r="M119" s="21"/>
      <c r="T119"/>
      <c r="U119"/>
      <c r="V119"/>
      <c r="W119"/>
      <c r="X119"/>
    </row>
    <row r="120" spans="1:24" s="20" customFormat="1" x14ac:dyDescent="0.25">
      <c r="A120" s="5"/>
      <c r="H120" s="21"/>
      <c r="L120" s="21"/>
      <c r="M120" s="21"/>
      <c r="T120"/>
      <c r="U120"/>
      <c r="V120"/>
      <c r="W120"/>
      <c r="X120"/>
    </row>
    <row r="121" spans="1:24" s="20" customFormat="1" x14ac:dyDescent="0.25">
      <c r="A121" s="5"/>
      <c r="H121" s="21"/>
      <c r="L121" s="21"/>
      <c r="M121" s="21"/>
      <c r="T121"/>
      <c r="U121"/>
      <c r="V121"/>
      <c r="W121"/>
      <c r="X121"/>
    </row>
    <row r="122" spans="1:24" s="20" customFormat="1" x14ac:dyDescent="0.25">
      <c r="A122" s="5"/>
      <c r="H122" s="21"/>
      <c r="L122" s="21"/>
      <c r="M122" s="21"/>
      <c r="T122"/>
      <c r="U122"/>
      <c r="V122"/>
      <c r="W122"/>
      <c r="X122"/>
    </row>
    <row r="123" spans="1:24" s="20" customFormat="1" x14ac:dyDescent="0.25">
      <c r="A123" s="5"/>
      <c r="H123" s="21"/>
      <c r="L123" s="21"/>
      <c r="M123" s="21"/>
      <c r="T123"/>
      <c r="U123"/>
      <c r="V123"/>
      <c r="W123"/>
      <c r="X123"/>
    </row>
    <row r="124" spans="1:24" s="20" customFormat="1" x14ac:dyDescent="0.25">
      <c r="A124" s="5"/>
      <c r="H124" s="21"/>
      <c r="L124" s="21"/>
      <c r="M124" s="21"/>
      <c r="T124"/>
      <c r="U124"/>
      <c r="V124"/>
      <c r="W124"/>
      <c r="X124"/>
    </row>
    <row r="125" spans="1:24" s="20" customFormat="1" x14ac:dyDescent="0.25">
      <c r="A125" s="5"/>
      <c r="H125" s="21"/>
      <c r="L125" s="21"/>
      <c r="M125" s="21"/>
      <c r="T125"/>
      <c r="U125"/>
      <c r="V125"/>
      <c r="W125"/>
      <c r="X125"/>
    </row>
    <row r="126" spans="1:24" s="20" customFormat="1" x14ac:dyDescent="0.25">
      <c r="A126" s="5"/>
      <c r="H126" s="21"/>
      <c r="L126" s="21"/>
      <c r="M126" s="21"/>
      <c r="T126"/>
      <c r="U126"/>
      <c r="V126"/>
      <c r="W126"/>
      <c r="X126"/>
    </row>
    <row r="127" spans="1:24" s="20" customFormat="1" x14ac:dyDescent="0.25">
      <c r="A127" s="5"/>
      <c r="H127" s="21"/>
      <c r="L127" s="21"/>
      <c r="M127" s="21"/>
      <c r="T127"/>
      <c r="U127"/>
      <c r="V127"/>
      <c r="W127"/>
      <c r="X127"/>
    </row>
    <row r="128" spans="1:24" s="20" customFormat="1" x14ac:dyDescent="0.25">
      <c r="A128" s="5"/>
      <c r="H128" s="21"/>
      <c r="L128" s="21"/>
      <c r="M128" s="21"/>
      <c r="T128"/>
      <c r="U128"/>
      <c r="V128"/>
      <c r="W128"/>
      <c r="X128"/>
    </row>
    <row r="129" spans="1:24" s="20" customFormat="1" x14ac:dyDescent="0.25">
      <c r="A129" s="5"/>
      <c r="H129" s="21"/>
      <c r="L129" s="21"/>
      <c r="M129" s="21"/>
      <c r="T129"/>
      <c r="U129"/>
      <c r="V129"/>
      <c r="W129"/>
      <c r="X129"/>
    </row>
    <row r="130" spans="1:24" s="20" customFormat="1" x14ac:dyDescent="0.25">
      <c r="A130" s="5"/>
      <c r="H130" s="21"/>
      <c r="L130" s="21"/>
      <c r="M130" s="21"/>
      <c r="T130"/>
      <c r="U130"/>
      <c r="V130"/>
      <c r="W130"/>
      <c r="X130"/>
    </row>
    <row r="131" spans="1:24" s="20" customFormat="1" x14ac:dyDescent="0.25">
      <c r="A131" s="5"/>
      <c r="H131" s="21"/>
      <c r="L131" s="21"/>
      <c r="M131" s="21"/>
      <c r="T131"/>
      <c r="U131"/>
      <c r="V131"/>
      <c r="W131"/>
      <c r="X131"/>
    </row>
    <row r="132" spans="1:24" s="20" customFormat="1" x14ac:dyDescent="0.25">
      <c r="A132" s="5"/>
      <c r="H132" s="21"/>
      <c r="L132" s="21"/>
      <c r="M132" s="21"/>
      <c r="T132"/>
      <c r="U132"/>
      <c r="V132"/>
      <c r="W132"/>
      <c r="X132"/>
    </row>
    <row r="133" spans="1:24" s="20" customFormat="1" x14ac:dyDescent="0.25">
      <c r="A133" s="5"/>
      <c r="H133" s="21"/>
      <c r="L133" s="21"/>
      <c r="M133" s="21"/>
      <c r="T133"/>
      <c r="U133"/>
      <c r="V133"/>
      <c r="W133"/>
      <c r="X133"/>
    </row>
    <row r="134" spans="1:24" s="20" customFormat="1" x14ac:dyDescent="0.25">
      <c r="A134" s="5"/>
      <c r="H134" s="21"/>
      <c r="L134" s="21"/>
      <c r="M134" s="21"/>
      <c r="T134"/>
      <c r="U134"/>
      <c r="V134"/>
      <c r="W134"/>
      <c r="X134"/>
    </row>
    <row r="135" spans="1:24" s="20" customFormat="1" x14ac:dyDescent="0.25">
      <c r="A135" s="5"/>
      <c r="H135" s="21"/>
      <c r="L135" s="21"/>
      <c r="M135" s="21"/>
      <c r="T135"/>
      <c r="U135"/>
      <c r="V135"/>
      <c r="W135"/>
      <c r="X135"/>
    </row>
    <row r="136" spans="1:24" s="20" customFormat="1" x14ac:dyDescent="0.25">
      <c r="A136" s="5"/>
      <c r="H136" s="21"/>
      <c r="L136" s="21"/>
      <c r="M136" s="21"/>
      <c r="T136"/>
      <c r="U136"/>
      <c r="V136"/>
      <c r="W136"/>
      <c r="X136"/>
    </row>
    <row r="137" spans="1:24" s="20" customFormat="1" x14ac:dyDescent="0.25">
      <c r="A137" s="5"/>
      <c r="H137" s="21"/>
      <c r="L137" s="21"/>
      <c r="M137" s="21"/>
      <c r="T137"/>
      <c r="U137"/>
      <c r="V137"/>
      <c r="W137"/>
      <c r="X137"/>
    </row>
    <row r="138" spans="1:24" s="20" customFormat="1" x14ac:dyDescent="0.25">
      <c r="A138" s="5"/>
      <c r="H138" s="21"/>
      <c r="L138" s="21"/>
      <c r="M138" s="21"/>
      <c r="T138"/>
      <c r="U138"/>
      <c r="V138"/>
      <c r="W138"/>
      <c r="X138"/>
    </row>
    <row r="139" spans="1:24" s="20" customFormat="1" x14ac:dyDescent="0.25">
      <c r="A139" s="5"/>
      <c r="H139" s="21"/>
      <c r="L139" s="21"/>
      <c r="M139" s="21"/>
      <c r="T139"/>
      <c r="U139"/>
      <c r="V139"/>
      <c r="W139"/>
      <c r="X139"/>
    </row>
    <row r="140" spans="1:24" s="20" customFormat="1" x14ac:dyDescent="0.25">
      <c r="A140" s="5"/>
      <c r="H140" s="21"/>
      <c r="L140" s="21"/>
      <c r="M140" s="21"/>
      <c r="T140"/>
      <c r="U140"/>
      <c r="V140"/>
      <c r="W140"/>
      <c r="X140"/>
    </row>
    <row r="141" spans="1:24" s="20" customFormat="1" x14ac:dyDescent="0.25">
      <c r="A141" s="5"/>
      <c r="H141" s="21"/>
      <c r="L141" s="21"/>
      <c r="M141" s="21"/>
      <c r="T141"/>
      <c r="U141"/>
      <c r="V141"/>
      <c r="W141"/>
      <c r="X141"/>
    </row>
    <row r="142" spans="1:24" s="20" customFormat="1" x14ac:dyDescent="0.25">
      <c r="A142" s="5"/>
      <c r="H142" s="21"/>
      <c r="L142" s="21"/>
      <c r="M142" s="21"/>
      <c r="T142"/>
      <c r="U142"/>
      <c r="V142"/>
      <c r="W142"/>
      <c r="X142"/>
    </row>
    <row r="143" spans="1:24" s="20" customFormat="1" x14ac:dyDescent="0.25">
      <c r="A143" s="5"/>
      <c r="H143" s="21"/>
      <c r="L143" s="21"/>
      <c r="M143" s="21"/>
      <c r="T143"/>
      <c r="U143"/>
      <c r="V143"/>
      <c r="W143"/>
      <c r="X143"/>
    </row>
    <row r="144" spans="1:24" s="20" customFormat="1" x14ac:dyDescent="0.25">
      <c r="A144" s="5"/>
      <c r="H144" s="21"/>
      <c r="L144" s="21"/>
      <c r="M144" s="21"/>
      <c r="T144"/>
      <c r="U144"/>
      <c r="V144"/>
      <c r="W144"/>
      <c r="X144"/>
    </row>
    <row r="145" spans="1:24" s="20" customFormat="1" x14ac:dyDescent="0.25">
      <c r="A145" s="5"/>
      <c r="H145" s="21"/>
      <c r="L145" s="21"/>
      <c r="M145" s="21"/>
      <c r="T145"/>
      <c r="U145"/>
      <c r="V145"/>
      <c r="W145"/>
      <c r="X145"/>
    </row>
    <row r="146" spans="1:24" s="20" customFormat="1" x14ac:dyDescent="0.25">
      <c r="A146" s="5"/>
      <c r="H146" s="21"/>
      <c r="L146" s="21"/>
      <c r="M146" s="21"/>
      <c r="T146"/>
      <c r="U146"/>
      <c r="V146"/>
      <c r="W146"/>
      <c r="X146"/>
    </row>
    <row r="147" spans="1:24" s="20" customFormat="1" x14ac:dyDescent="0.25">
      <c r="A147" s="5"/>
      <c r="H147" s="21"/>
      <c r="L147" s="21"/>
      <c r="M147" s="21"/>
      <c r="T147"/>
      <c r="U147"/>
      <c r="V147"/>
      <c r="W147"/>
      <c r="X147"/>
    </row>
    <row r="148" spans="1:24" s="20" customFormat="1" x14ac:dyDescent="0.25">
      <c r="A148" s="5"/>
      <c r="H148" s="21"/>
      <c r="L148" s="21"/>
      <c r="M148" s="21"/>
      <c r="T148"/>
      <c r="U148"/>
      <c r="V148"/>
      <c r="W148"/>
      <c r="X148"/>
    </row>
    <row r="149" spans="1:24" s="20" customFormat="1" x14ac:dyDescent="0.25">
      <c r="A149" s="5"/>
      <c r="H149" s="21"/>
      <c r="L149" s="21"/>
      <c r="M149" s="21"/>
      <c r="T149"/>
      <c r="U149"/>
      <c r="V149"/>
      <c r="W149"/>
      <c r="X149"/>
    </row>
    <row r="150" spans="1:24" s="20" customFormat="1" x14ac:dyDescent="0.25">
      <c r="A150" s="5"/>
      <c r="H150" s="21"/>
      <c r="L150" s="21"/>
      <c r="M150" s="21"/>
      <c r="T150"/>
      <c r="U150"/>
      <c r="V150"/>
      <c r="W150"/>
      <c r="X150"/>
    </row>
    <row r="151" spans="1:24" s="20" customFormat="1" x14ac:dyDescent="0.25">
      <c r="A151" s="5"/>
      <c r="H151" s="21"/>
      <c r="L151" s="21"/>
      <c r="M151" s="21"/>
      <c r="T151"/>
      <c r="U151"/>
      <c r="V151"/>
      <c r="W151"/>
      <c r="X151"/>
    </row>
    <row r="152" spans="1:24" s="20" customFormat="1" x14ac:dyDescent="0.25">
      <c r="A152" s="5"/>
      <c r="H152" s="21"/>
      <c r="L152" s="21"/>
      <c r="M152" s="21"/>
      <c r="T152"/>
      <c r="U152"/>
      <c r="V152"/>
      <c r="W152"/>
      <c r="X152"/>
    </row>
    <row r="153" spans="1:24" s="20" customFormat="1" x14ac:dyDescent="0.25">
      <c r="A153" s="5"/>
      <c r="H153" s="21"/>
      <c r="L153" s="21"/>
      <c r="M153" s="21"/>
      <c r="T153"/>
      <c r="U153"/>
      <c r="V153"/>
      <c r="W153"/>
      <c r="X153"/>
    </row>
    <row r="154" spans="1:24" s="20" customFormat="1" x14ac:dyDescent="0.25">
      <c r="A154" s="5"/>
      <c r="H154" s="21"/>
      <c r="L154" s="21"/>
      <c r="M154" s="21"/>
      <c r="T154"/>
      <c r="U154"/>
      <c r="V154"/>
      <c r="W154"/>
      <c r="X154"/>
    </row>
    <row r="155" spans="1:24" s="20" customFormat="1" x14ac:dyDescent="0.25">
      <c r="A155" s="5"/>
      <c r="H155" s="21"/>
      <c r="L155" s="21"/>
      <c r="M155" s="21"/>
      <c r="T155"/>
      <c r="U155"/>
      <c r="V155"/>
      <c r="W155"/>
      <c r="X155"/>
    </row>
    <row r="156" spans="1:24" s="20" customFormat="1" x14ac:dyDescent="0.25">
      <c r="A156" s="5"/>
      <c r="H156" s="21"/>
      <c r="L156" s="21"/>
      <c r="M156" s="21"/>
      <c r="T156"/>
      <c r="U156"/>
      <c r="V156"/>
      <c r="W156"/>
      <c r="X156"/>
    </row>
    <row r="157" spans="1:24" s="20" customFormat="1" x14ac:dyDescent="0.25">
      <c r="A157" s="5"/>
      <c r="H157" s="21"/>
      <c r="L157" s="21"/>
      <c r="M157" s="21"/>
      <c r="T157"/>
      <c r="U157"/>
      <c r="V157"/>
      <c r="W157"/>
      <c r="X157"/>
    </row>
    <row r="158" spans="1:24" s="20" customFormat="1" x14ac:dyDescent="0.25">
      <c r="A158" s="5"/>
      <c r="H158" s="21"/>
      <c r="L158" s="21"/>
      <c r="M158" s="21"/>
      <c r="T158"/>
      <c r="U158"/>
      <c r="V158"/>
      <c r="W158"/>
      <c r="X158"/>
    </row>
    <row r="159" spans="1:24" s="20" customFormat="1" x14ac:dyDescent="0.25">
      <c r="A159" s="5"/>
      <c r="H159" s="21"/>
      <c r="L159" s="21"/>
      <c r="M159" s="21"/>
      <c r="T159"/>
      <c r="U159"/>
      <c r="V159"/>
      <c r="W159"/>
      <c r="X159"/>
    </row>
    <row r="160" spans="1:24" s="20" customFormat="1" x14ac:dyDescent="0.25">
      <c r="A160" s="5"/>
      <c r="H160" s="21"/>
      <c r="L160" s="21"/>
      <c r="M160" s="21"/>
      <c r="T160"/>
      <c r="U160"/>
      <c r="V160"/>
      <c r="W160"/>
      <c r="X160"/>
    </row>
    <row r="161" spans="1:24" s="20" customFormat="1" x14ac:dyDescent="0.25">
      <c r="A161" s="5"/>
      <c r="H161" s="21"/>
      <c r="L161" s="21"/>
      <c r="M161" s="21"/>
      <c r="T161"/>
      <c r="U161"/>
      <c r="V161"/>
      <c r="W161"/>
      <c r="X161"/>
    </row>
    <row r="162" spans="1:24" s="20" customFormat="1" x14ac:dyDescent="0.25">
      <c r="A162" s="5"/>
      <c r="H162" s="21"/>
      <c r="L162" s="21"/>
      <c r="M162" s="21"/>
      <c r="T162"/>
      <c r="U162"/>
      <c r="V162"/>
      <c r="W162"/>
      <c r="X162"/>
    </row>
    <row r="163" spans="1:24" s="20" customFormat="1" x14ac:dyDescent="0.25">
      <c r="A163" s="5"/>
      <c r="H163" s="21"/>
      <c r="L163" s="21"/>
      <c r="M163" s="21"/>
      <c r="T163"/>
      <c r="U163"/>
      <c r="V163"/>
      <c r="W163"/>
      <c r="X163"/>
    </row>
    <row r="164" spans="1:24" s="20" customFormat="1" x14ac:dyDescent="0.25">
      <c r="A164" s="5"/>
      <c r="H164" s="21"/>
      <c r="L164" s="21"/>
      <c r="M164" s="21"/>
      <c r="T164"/>
      <c r="U164"/>
      <c r="V164"/>
      <c r="W164"/>
      <c r="X164"/>
    </row>
    <row r="165" spans="1:24" s="20" customFormat="1" x14ac:dyDescent="0.25">
      <c r="A165" s="5"/>
      <c r="H165" s="21"/>
      <c r="L165" s="21"/>
      <c r="M165" s="21"/>
      <c r="T165"/>
      <c r="U165"/>
      <c r="V165"/>
      <c r="W165"/>
      <c r="X165"/>
    </row>
    <row r="166" spans="1:24" s="20" customFormat="1" x14ac:dyDescent="0.25">
      <c r="A166" s="5"/>
      <c r="H166" s="21"/>
      <c r="L166" s="21"/>
      <c r="M166" s="21"/>
      <c r="T166"/>
      <c r="U166"/>
      <c r="V166"/>
      <c r="W166"/>
      <c r="X166"/>
    </row>
    <row r="167" spans="1:24" s="20" customFormat="1" x14ac:dyDescent="0.25">
      <c r="A167" s="5"/>
      <c r="L167" s="21"/>
      <c r="M167" s="21"/>
      <c r="T167"/>
      <c r="U167"/>
      <c r="V167"/>
      <c r="W167"/>
      <c r="X167"/>
    </row>
    <row r="168" spans="1:24" s="20" customFormat="1" x14ac:dyDescent="0.25">
      <c r="A168" s="5"/>
      <c r="L168" s="21"/>
      <c r="M168" s="21"/>
      <c r="T168"/>
      <c r="U168"/>
      <c r="V168"/>
      <c r="W168"/>
      <c r="X168"/>
    </row>
  </sheetData>
  <mergeCells count="6"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2026-03-11T16:26:13Z</cp:lastPrinted>
  <dcterms:created xsi:type="dcterms:W3CDTF">2022-01-10T16:49:23Z</dcterms:created>
  <dcterms:modified xsi:type="dcterms:W3CDTF">2026-08-05T15:54:00Z</dcterms:modified>
</cp:coreProperties>
</file>