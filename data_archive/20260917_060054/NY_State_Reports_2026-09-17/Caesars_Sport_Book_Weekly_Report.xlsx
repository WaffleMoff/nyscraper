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3CA92A28-B71F-4FA0-9348-16A3145616F6}" xr6:coauthVersionLast="47" xr6:coauthVersionMax="47" xr10:uidLastSave="{00000000-0000-0000-0000-000000000000}"/>
  <bookViews>
    <workbookView xWindow="-12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22-23" sheetId="3" r:id="rId5"/>
    <sheet name="FY 21-22" sheetId="1" r:id="rId6"/>
  </sheets>
  <definedNames>
    <definedName name="_xlnm.Print_Area" localSheetId="3">'FY 23-24'!$A$1:$J$73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  <definedName name="_xlnm.Print_Area" localSheetId="4">'FY22-23'!$A$1:$J$72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<sst xmlns="http://schemas.openxmlformats.org/spreadsheetml/2006/main" count="85" uniqueCount="18">
  <si>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</si>
  <si>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</si>
  <si>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</si>
  <si>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</si>
  <si>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</si>
  <si>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</si>
  <si>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</si>
  <si>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</si>
  <si>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</si>
  <si>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</si>
  <si>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Caesars Sportsbook</t>
  </si>
  <si>
    <t xml:space="preserve">2) Mobile Sports Wagering Gross Gaming Revenue (GGR) is taxed at 51%. </t>
  </si>
  <si>
    <t>3) Caesars Sportsbook began operating in NY on 1/8/22.</t>
  </si>
  <si>
    <t xml:space="preserve"> Fiscal Year 2022/2023</t>
  </si>
  <si>
    <t xml:space="preserve"> Fiscal Year 2023-2024</t>
  </si>
  <si>
    <t xml:space="preserve"> Fiscal Year 2024-2025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</si>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</sst>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6" fontId="3" fillId="0" borderId="0" xfId="1" applyNumberFormat="1" applyAlignment="1" applyProtection="1"/>
    <xf numFmtId="6" fontId="1" fillId="0" borderId="0" xfId="0" applyNumberFormat="1" applyFont="1"/>
    <xf numFmtId="164" fontId="6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164" fontId="9" fillId="0" borderId="0" xfId="0" applyNumberFormat="1" applyFont="1" applyAlignment="1">
      <alignment horizontal="center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0C5F3E-33F8-4A3E-97FB-66B12750FAC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9A3B03-4D52-464E-8F4B-92F808D4F2A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3085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327655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EF8F46-9B99-419B-9EFB-A797786FF7C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4CCD10-ECA1-4C6E-9EBB-0A9CEC9AB51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0</xdr:row>
      <xdr:rowOff>0</xdr:rowOff>
    </xdr:from>
    <xdr:to>
      <xdr:col>2</xdr:col>
      <xdr:colOff>333370</xdr:colOff>
      <xdr:row>4</xdr:row>
      <xdr:rowOff>20320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144DF8-E58D-4C2D-AA0D-771E6CB26EB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0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104775</xdr:rowOff>
    </xdr:from>
    <xdr:to>
      <xdr:col>2</xdr:col>
      <xdr:colOff>19050</xdr:colOff>
      <xdr:row>4</xdr:row>
      <xdr:rowOff>125095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4D71F7-760D-426F-84DC-194EA4230ED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04775"/>
          <a:ext cx="1828800" cy="8299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D25CF-5158-46B2-997C-1E835713C8D8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36" sqref="F3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17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46110</v>
      </c>
      <c r="B13" s="19"/>
      <c r="C13" s="20">
        <v>31613171.330000002</v>
      </c>
      <c r="F13" s="32">
        <v>2436647.6600000011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5" si="0">A13+7</f>
        <v>46117</v>
      </c>
      <c r="B14" s="19"/>
      <c r="C14" s="20">
        <v>33233800.779999997</v>
      </c>
      <c r="F14" s="32">
        <v>3477440.7800000003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46124</v>
      </c>
      <c r="B15" s="19"/>
      <c r="C15" s="20">
        <v>33127764.829999998</v>
      </c>
      <c r="F15" s="32">
        <v>3048177.3199999989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46131</v>
      </c>
      <c r="B16" s="19"/>
      <c r="C16" s="20">
        <v>31470381.539999999</v>
      </c>
      <c r="F16" s="32">
        <v>3373787.3800000004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46138</v>
      </c>
      <c r="B17" s="19"/>
      <c r="C17" s="20">
        <v>32555182.43</v>
      </c>
      <c r="F17" s="32">
        <v>3207245.6199999987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46145</v>
      </c>
      <c r="B18" s="19"/>
      <c r="C18" s="20">
        <v>31891070.939999998</v>
      </c>
      <c r="F18" s="32">
        <v>2308603.7800000017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46152</v>
      </c>
      <c r="B19" s="19"/>
      <c r="C19" s="20">
        <v>33126496.509999998</v>
      </c>
      <c r="F19" s="32">
        <v>3264377.2499999995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46159</v>
      </c>
      <c r="B20" s="19"/>
      <c r="C20" s="20">
        <v>28146459.210000005</v>
      </c>
      <c r="F20" s="32">
        <v>2117538.0600000024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46166</v>
      </c>
      <c r="B21" s="19"/>
      <c r="C21" s="20">
        <v>33188378.529999997</v>
      </c>
      <c r="F21" s="32">
        <v>2592543.7100000009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46173</v>
      </c>
      <c r="B22" s="19"/>
      <c r="C22" s="20">
        <v>33258181.719999999</v>
      </c>
      <c r="F22" s="32">
        <v>1275369.1799999988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46180</v>
      </c>
      <c r="B23" s="19"/>
      <c r="C23" s="20">
        <v>33219446.16</v>
      </c>
      <c r="F23" s="32">
        <v>3488824.8200000003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46187</v>
      </c>
      <c r="B24" s="19"/>
      <c r="C24" s="20">
        <v>37454354.009999998</v>
      </c>
      <c r="F24" s="32">
        <v>-3738447.4199999971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46194</v>
      </c>
      <c r="B25" s="19"/>
      <c r="C25" s="20">
        <v>33406414.349999998</v>
      </c>
      <c r="F25" s="32">
        <v>2668779.9299999978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46201</v>
      </c>
      <c r="B26" s="19"/>
      <c r="C26" s="20">
        <v>29619233.999999996</v>
      </c>
      <c r="F26" s="32">
        <v>3289236.2899999991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46208</v>
      </c>
      <c r="B27" s="19"/>
      <c r="C27" s="20">
        <v>38498676.870000005</v>
      </c>
      <c r="F27" s="32">
        <v>1785512.2700000005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46215</v>
      </c>
      <c r="B28" s="19"/>
      <c r="C28" s="20">
        <v>30518497.569999997</v>
      </c>
      <c r="F28" s="32">
        <v>3721553.08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46222</v>
      </c>
      <c r="B29" s="19"/>
      <c r="C29" s="20">
        <v>25844619.73</v>
      </c>
      <c r="F29" s="32">
        <v>2525190.36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46229</v>
      </c>
      <c r="B30" s="19"/>
      <c r="C30" s="20">
        <v>22430416.330000002</v>
      </c>
      <c r="F30" s="32">
        <v>1850919.3999999994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46236</v>
      </c>
      <c r="B31" s="19"/>
      <c r="C31" s="20">
        <v>24783391.540000003</v>
      </c>
      <c r="F31" s="32">
        <v>2464773.3400000003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46243</v>
      </c>
      <c r="B32" s="19"/>
      <c r="C32" s="20">
        <v>25635698.810000002</v>
      </c>
      <c r="F32" s="32">
        <v>2163066.7900000014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46250</v>
      </c>
      <c r="B33" s="19"/>
      <c r="C33" s="20">
        <v>26220192.339999996</v>
      </c>
      <c r="F33" s="32">
        <v>2930203.0199999982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46257</v>
      </c>
      <c r="B34" s="19"/>
      <c r="C34" s="20">
        <v>24210783.23</v>
      </c>
      <c r="F34" s="32">
        <v>2317980.7600000002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46264</v>
      </c>
      <c r="B35" s="19"/>
      <c r="C35" s="20">
        <v>25588402.099999998</v>
      </c>
      <c r="F35" s="32">
        <v>2177229.2399999993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46271</v>
      </c>
      <c r="B36" s="19"/>
      <c r="C36" s="20">
        <v>31393608.130000003</v>
      </c>
      <c r="F36" s="32">
        <v>2309435.8000000012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46278</v>
      </c>
      <c r="B37" s="19"/>
      <c r="F37" s="3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46285</v>
      </c>
      <c r="B38" s="19"/>
      <c r="F38" s="3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46292</v>
      </c>
      <c r="B39" s="19"/>
      <c r="F39" s="3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46299</v>
      </c>
      <c r="B40" s="19"/>
      <c r="F40" s="3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46306</v>
      </c>
      <c r="B41" s="19"/>
      <c r="F41" s="3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46313</v>
      </c>
      <c r="B42" s="19"/>
      <c r="F42" s="3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46320</v>
      </c>
      <c r="B43" s="19"/>
      <c r="F43" s="3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46327</v>
      </c>
      <c r="B44" s="19"/>
      <c r="F44" s="3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46334</v>
      </c>
      <c r="B45" s="19"/>
      <c r="F45" s="3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46341</v>
      </c>
      <c r="B46" s="19"/>
      <c r="F46" s="3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46348</v>
      </c>
      <c r="B47" s="19"/>
      <c r="F47" s="3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46355</v>
      </c>
      <c r="B48" s="19"/>
      <c r="F48" s="3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46362</v>
      </c>
      <c r="B49" s="19"/>
      <c r="F49" s="32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46369</v>
      </c>
      <c r="B50" s="19"/>
      <c r="F50" s="32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46376</v>
      </c>
      <c r="B51" s="19"/>
      <c r="F51" s="32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46383</v>
      </c>
      <c r="B52" s="19"/>
      <c r="F52" s="32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46390</v>
      </c>
      <c r="B53" s="19"/>
      <c r="F53" s="32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46397</v>
      </c>
      <c r="B54" s="19"/>
      <c r="F54" s="32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46404</v>
      </c>
      <c r="B55" s="19"/>
      <c r="F55" s="32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46411</v>
      </c>
      <c r="B56" s="19"/>
      <c r="F56" s="32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46418</v>
      </c>
      <c r="B57" s="19"/>
      <c r="F57" s="32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46425</v>
      </c>
      <c r="B58" s="19"/>
      <c r="F58" s="32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46432</v>
      </c>
      <c r="B59" s="19"/>
      <c r="F59" s="32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46439</v>
      </c>
      <c r="B60" s="19"/>
      <c r="F60" s="32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46446</v>
      </c>
      <c r="B61" s="19"/>
      <c r="F61" s="32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46453</v>
      </c>
      <c r="B62" s="19"/>
      <c r="F62" s="32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46460</v>
      </c>
      <c r="B63" s="19"/>
      <c r="F63" s="32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46467</v>
      </c>
      <c r="B64" s="19"/>
      <c r="F64" s="32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>
        <f t="shared" si="0"/>
        <v>46474</v>
      </c>
      <c r="B65" s="19"/>
      <c r="F65" s="32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730434622.99000013</v>
      </c>
      <c r="F67" s="22">
        <f>SUM(F13:F66)</f>
        <v>57055988.420000009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5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E2B4-811A-4CD4-A668-2926E621C4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K60" sqref="K60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16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45746</v>
      </c>
      <c r="B13" s="19"/>
      <c r="C13" s="20">
        <v>35169988.639999993</v>
      </c>
      <c r="F13" s="20">
        <v>1201925.0499999984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45753</v>
      </c>
      <c r="B14" s="19"/>
      <c r="C14" s="20">
        <v>38585645.670000002</v>
      </c>
      <c r="F14" s="20">
        <v>2710013.6000000006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45760</v>
      </c>
      <c r="B15" s="19"/>
      <c r="C15" s="20">
        <v>32643043.219999999</v>
      </c>
      <c r="F15" s="20">
        <v>2309901.350000001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45767</v>
      </c>
      <c r="B16" s="19"/>
      <c r="C16" s="20">
        <v>31699859.840000004</v>
      </c>
      <c r="F16" s="20">
        <v>1581325.9899999974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45774</v>
      </c>
      <c r="B17" s="19"/>
      <c r="C17" s="20">
        <v>41070421.420000009</v>
      </c>
      <c r="F17" s="20">
        <v>1580532.54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45781</v>
      </c>
      <c r="B18" s="19"/>
      <c r="C18" s="20">
        <v>33996854.229999997</v>
      </c>
      <c r="F18" s="20">
        <v>3426251.0800000005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45788</v>
      </c>
      <c r="B19" s="19"/>
      <c r="C19" s="20">
        <v>36333611.019999996</v>
      </c>
      <c r="F19" s="20">
        <v>3041455.9299999997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45795</v>
      </c>
      <c r="B20" s="19"/>
      <c r="C20" s="20">
        <v>34299615.800000004</v>
      </c>
      <c r="F20" s="20">
        <v>2280340.890000002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45802</v>
      </c>
      <c r="B21" s="19"/>
      <c r="C21" s="20">
        <v>31279015.949999996</v>
      </c>
      <c r="F21" s="20">
        <v>3746197.6599999992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45809</v>
      </c>
      <c r="B22" s="19"/>
      <c r="C22" s="20">
        <v>34179450.428999268</v>
      </c>
      <c r="F22" s="20">
        <v>3058425.7589992685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45816</v>
      </c>
      <c r="B23" s="19"/>
      <c r="C23" s="20">
        <v>27199961.400000002</v>
      </c>
      <c r="F23" s="20">
        <v>3331836.1800000016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45823</v>
      </c>
      <c r="B24" s="19"/>
      <c r="C24" s="20">
        <v>26517747.490000002</v>
      </c>
      <c r="F24" s="20">
        <v>3304127.0699999994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45830</v>
      </c>
      <c r="B25" s="19"/>
      <c r="C25" s="20">
        <v>25814884.180000003</v>
      </c>
      <c r="F25" s="20">
        <v>2480416.4899999998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45837</v>
      </c>
      <c r="B26" s="19"/>
      <c r="C26" s="20">
        <v>22056488.18</v>
      </c>
      <c r="F26" s="20">
        <v>2410168.0799999996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45844</v>
      </c>
      <c r="B27" s="19"/>
      <c r="C27" s="20">
        <v>25245864.900000002</v>
      </c>
      <c r="F27" s="20">
        <v>2695504.6299999994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45851</v>
      </c>
      <c r="B28" s="19"/>
      <c r="C28" s="20">
        <v>24006128.430000003</v>
      </c>
      <c r="F28" s="20">
        <v>1603991.1000000006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45858</v>
      </c>
      <c r="B29" s="19"/>
      <c r="C29" s="20">
        <v>17685682.77</v>
      </c>
      <c r="F29" s="20">
        <v>2083542.79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45865</v>
      </c>
      <c r="B30" s="19"/>
      <c r="C30" s="20">
        <v>22370273.399999999</v>
      </c>
      <c r="F30" s="20">
        <v>2373483.7399999998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45872</v>
      </c>
      <c r="B31" s="19"/>
      <c r="C31" s="20">
        <v>22093800.198499817</v>
      </c>
      <c r="F31" s="20">
        <v>3010040.2784998151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45879</v>
      </c>
      <c r="B32" s="19"/>
      <c r="C32" s="20">
        <v>21535678.599999998</v>
      </c>
      <c r="F32" s="20">
        <v>1882866.6299999992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45886</v>
      </c>
      <c r="B33" s="19"/>
      <c r="C33" s="20">
        <v>24268186.609999761</v>
      </c>
      <c r="F33" s="20">
        <v>1812782.1099997605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45893</v>
      </c>
      <c r="B34" s="19"/>
      <c r="C34" s="20">
        <v>26310981.119999997</v>
      </c>
      <c r="F34" s="20">
        <v>2221838.12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45900</v>
      </c>
      <c r="B35" s="19"/>
      <c r="C35" s="20">
        <v>31008655.18</v>
      </c>
      <c r="F35" s="20">
        <v>3528136.0199999996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45907</v>
      </c>
      <c r="B36" s="19"/>
      <c r="C36" s="20">
        <v>34816167.569999993</v>
      </c>
      <c r="F36" s="20">
        <v>2305526.3000000003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45914</v>
      </c>
      <c r="B37" s="19"/>
      <c r="C37" s="20">
        <v>33456390.749999996</v>
      </c>
      <c r="F37" s="20">
        <v>2594693.69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45921</v>
      </c>
      <c r="B38" s="19"/>
      <c r="C38" s="20">
        <v>36413126.199999996</v>
      </c>
      <c r="F38" s="20">
        <v>2903698.2299999977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45928</v>
      </c>
      <c r="B39" s="19"/>
      <c r="C39" s="20">
        <v>39143678.000000007</v>
      </c>
      <c r="F39" s="20">
        <v>2181574.0499999998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45935</v>
      </c>
      <c r="B40" s="19"/>
      <c r="C40" s="20">
        <v>42463699.700000003</v>
      </c>
      <c r="F40" s="20">
        <v>3615303.6999999988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45942</v>
      </c>
      <c r="B41" s="19"/>
      <c r="C41" s="20">
        <v>38676659.209999993</v>
      </c>
      <c r="F41" s="20">
        <v>3735478.7799999993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45949</v>
      </c>
      <c r="B42" s="19"/>
      <c r="C42" s="20">
        <v>38038450.240000002</v>
      </c>
      <c r="F42" s="20">
        <v>1766575.8699999996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45956</v>
      </c>
      <c r="B43" s="19"/>
      <c r="C43" s="20">
        <v>39900940.240000002</v>
      </c>
      <c r="F43" s="20">
        <v>2019167.5999999992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45963</v>
      </c>
      <c r="B44" s="19"/>
      <c r="C44" s="20">
        <v>43056716.160000004</v>
      </c>
      <c r="F44" s="20">
        <v>3848134.6100000027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45970</v>
      </c>
      <c r="B45" s="19"/>
      <c r="C45" s="20">
        <v>42562980</v>
      </c>
      <c r="F45" s="20">
        <v>3276159.3299999996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45977</v>
      </c>
      <c r="B46" s="19"/>
      <c r="C46" s="20">
        <v>41624411.130000003</v>
      </c>
      <c r="F46" s="20">
        <v>2838316.0800000015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45984</v>
      </c>
      <c r="B47" s="19"/>
      <c r="C47" s="20">
        <v>39568799.760000005</v>
      </c>
      <c r="F47" s="20">
        <v>3283183.2400000035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45991</v>
      </c>
      <c r="B48" s="19"/>
      <c r="C48" s="20">
        <v>44338187.020000011</v>
      </c>
      <c r="F48" s="20">
        <v>3767631.1200000034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45998</v>
      </c>
      <c r="B49" s="19"/>
      <c r="C49" s="20">
        <v>37748453.259999998</v>
      </c>
      <c r="F49" s="20">
        <v>4548442.26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46005</v>
      </c>
      <c r="B50" s="19"/>
      <c r="C50" s="20">
        <v>32695779.299999997</v>
      </c>
      <c r="F50" s="20">
        <v>3076550.3899999997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46012</v>
      </c>
      <c r="B51" s="19"/>
      <c r="C51" s="20">
        <v>35623281.700000003</v>
      </c>
      <c r="F51" s="20">
        <v>1834643.2500000005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46019</v>
      </c>
      <c r="B52" s="19"/>
      <c r="C52" s="20">
        <v>33450510.200003292</v>
      </c>
      <c r="F52" s="20">
        <v>3689823.5500032906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46026</v>
      </c>
      <c r="B53" s="19"/>
      <c r="C53" s="20">
        <v>39802371.780000001</v>
      </c>
      <c r="F53" s="20">
        <v>3848549.39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46033</v>
      </c>
      <c r="B54" s="19"/>
      <c r="C54" s="20">
        <v>37133652.870000005</v>
      </c>
      <c r="F54" s="20">
        <v>1812538.9399999995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46040</v>
      </c>
      <c r="B55" s="19"/>
      <c r="C55" s="20">
        <v>34016173.210000008</v>
      </c>
      <c r="F55" s="20">
        <v>4489138.7500000009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46047</v>
      </c>
      <c r="B56" s="19"/>
      <c r="C56" s="20">
        <v>35180280.109999999</v>
      </c>
      <c r="F56" s="20">
        <v>502558.63999999966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46054</v>
      </c>
      <c r="B57" s="19"/>
      <c r="C57" s="20">
        <v>33801509.359999999</v>
      </c>
      <c r="F57" s="20">
        <v>2481554.1299999976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46061</v>
      </c>
      <c r="B58" s="19"/>
      <c r="C58" s="20">
        <v>37624120.230000004</v>
      </c>
      <c r="F58" s="20">
        <v>1647113.7699999991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46068</v>
      </c>
      <c r="B59" s="19"/>
      <c r="C59" s="20">
        <v>30153068.870000001</v>
      </c>
      <c r="F59" s="20">
        <v>2389710.6599999983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46075</v>
      </c>
      <c r="B60" s="19"/>
      <c r="C60" s="20">
        <v>32381632.739999998</v>
      </c>
      <c r="F60" s="20">
        <v>2674940.140000002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46082</v>
      </c>
      <c r="B61" s="19"/>
      <c r="C61" s="20">
        <v>30907871.959999997</v>
      </c>
      <c r="F61" s="20">
        <v>2243149.6300000004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46089</v>
      </c>
      <c r="B62" s="19"/>
      <c r="C62" s="20">
        <v>34778393.729999997</v>
      </c>
      <c r="F62" s="20">
        <v>3161618.6800000034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46096</v>
      </c>
      <c r="B63" s="19"/>
      <c r="C63" s="20">
        <v>34827164.269999996</v>
      </c>
      <c r="F63" s="20">
        <v>3751860.1000000024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46103</v>
      </c>
      <c r="B64" s="19"/>
      <c r="C64" s="20">
        <v>37158848.149999999</v>
      </c>
      <c r="F64" s="20">
        <v>3546048.8300000005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1736715156.3975022</v>
      </c>
      <c r="F67" s="22">
        <f>SUM(F13:F66)</f>
        <v>141508786.79750216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4" priority="2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8C774-8083-4052-AB8A-445FB31350DB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15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45382</v>
      </c>
      <c r="B13" s="19"/>
      <c r="C13" s="20">
        <v>40692209.784799293</v>
      </c>
      <c r="F13" s="20">
        <v>3473597.8347992864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45389</v>
      </c>
      <c r="B14" s="19"/>
      <c r="C14" s="20">
        <v>41769228.915799953</v>
      </c>
      <c r="F14" s="20">
        <v>2249000.4557999466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45396</v>
      </c>
      <c r="B15" s="19"/>
      <c r="C15" s="20">
        <v>36009953.693498284</v>
      </c>
      <c r="F15" s="20">
        <v>1670187.8134982833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45403</v>
      </c>
      <c r="B16" s="19"/>
      <c r="C16" s="20">
        <v>33679504.058499411</v>
      </c>
      <c r="F16" s="20">
        <v>3023426.408499416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45410</v>
      </c>
      <c r="B17" s="19"/>
      <c r="C17" s="20">
        <v>37353938.449666403</v>
      </c>
      <c r="F17" s="20">
        <v>2205965.2096664067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45417</v>
      </c>
      <c r="B18" s="19"/>
      <c r="C18" s="20">
        <v>36190839.56259945</v>
      </c>
      <c r="F18" s="20">
        <v>1384937.1225994541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45424</v>
      </c>
      <c r="B19" s="19"/>
      <c r="C19" s="20">
        <v>39978198.128002286</v>
      </c>
      <c r="F19" s="20">
        <v>2852687.1580022834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45431</v>
      </c>
      <c r="B20" s="19"/>
      <c r="C20" s="20">
        <v>38590501.313698404</v>
      </c>
      <c r="F20" s="20">
        <v>2800105.2236983944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45438</v>
      </c>
      <c r="B21" s="19"/>
      <c r="C21" s="20">
        <v>33097327.362301406</v>
      </c>
      <c r="F21" s="20">
        <v>3323574.1723014009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45445</v>
      </c>
      <c r="B22" s="19"/>
      <c r="C22" s="20">
        <v>32480750.320000004</v>
      </c>
      <c r="F22" s="20">
        <v>2260770.1899999995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45452</v>
      </c>
      <c r="B23" s="19"/>
      <c r="C23" s="20">
        <v>27668719.390000004</v>
      </c>
      <c r="F23" s="20">
        <v>2062669.8000000021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45459</v>
      </c>
      <c r="B24" s="19"/>
      <c r="C24" s="20">
        <v>30669138.569999997</v>
      </c>
      <c r="F24" s="20">
        <v>1682474.6199999941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45466</v>
      </c>
      <c r="B25" s="19"/>
      <c r="C25" s="20">
        <v>31314023.140000001</v>
      </c>
      <c r="F25" s="20">
        <v>2536849.1399999983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45473</v>
      </c>
      <c r="B26" s="19"/>
      <c r="C26" s="20">
        <v>27871775.170000002</v>
      </c>
      <c r="F26" s="20">
        <v>1997706.9400000013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45480</v>
      </c>
      <c r="B27" s="19"/>
      <c r="C27" s="20">
        <v>26622252.289999999</v>
      </c>
      <c r="F27" s="20">
        <v>3286104.08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45487</v>
      </c>
      <c r="B28" s="19"/>
      <c r="C28" s="20">
        <v>26420733.540000003</v>
      </c>
      <c r="F28" s="20">
        <v>1648676.12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45494</v>
      </c>
      <c r="B29" s="19"/>
      <c r="C29" s="20">
        <v>19946661.34</v>
      </c>
      <c r="F29" s="20">
        <v>2503264.79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45501</v>
      </c>
      <c r="B30" s="19"/>
      <c r="C30" s="20">
        <v>24310133.610000003</v>
      </c>
      <c r="F30" s="20">
        <v>2698698.82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45508</v>
      </c>
      <c r="B31" s="19"/>
      <c r="C31" s="20">
        <v>26744865.969999999</v>
      </c>
      <c r="F31" s="20">
        <v>1859339.7499999995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45515</v>
      </c>
      <c r="B32" s="19"/>
      <c r="C32" s="20">
        <v>26188146.119999997</v>
      </c>
      <c r="F32" s="20">
        <v>2245076.4199999995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45522</v>
      </c>
      <c r="B33" s="19"/>
      <c r="C33" s="20">
        <v>25561536.409999996</v>
      </c>
      <c r="F33" s="20">
        <v>2445218.2999999989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45529</v>
      </c>
      <c r="B34" s="19"/>
      <c r="C34" s="20">
        <v>26086425.609999999</v>
      </c>
      <c r="F34" s="20">
        <v>1708671.3800000013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45536</v>
      </c>
      <c r="B35" s="19"/>
      <c r="C35" s="20">
        <v>31591450.829999998</v>
      </c>
      <c r="F35" s="20">
        <v>2310323.7699999991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45543</v>
      </c>
      <c r="B36" s="19"/>
      <c r="C36" s="20">
        <v>35027726.379999995</v>
      </c>
      <c r="F36" s="20">
        <v>1988894.2400000012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45550</v>
      </c>
      <c r="B37" s="19"/>
      <c r="C37" s="20">
        <v>33448312.019999996</v>
      </c>
      <c r="F37" s="20">
        <v>3795548.5899999989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45557</v>
      </c>
      <c r="B38" s="19"/>
      <c r="C38" s="20">
        <v>35638164.199999996</v>
      </c>
      <c r="F38" s="20">
        <v>2956702.5900000008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45564</v>
      </c>
      <c r="B39" s="19"/>
      <c r="C39" s="20">
        <v>34720869.129999958</v>
      </c>
      <c r="F39" s="20">
        <v>3774647.8199999598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45571</v>
      </c>
      <c r="B40" s="19"/>
      <c r="C40" s="20">
        <v>32238496.809999999</v>
      </c>
      <c r="F40" s="20">
        <v>3008589.2499999986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45578</v>
      </c>
      <c r="B41" s="19"/>
      <c r="C41" s="20">
        <v>31768755.349999998</v>
      </c>
      <c r="F41" s="20">
        <v>1623704.540000001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45585</v>
      </c>
      <c r="B42" s="19"/>
      <c r="C42" s="20">
        <v>39494279.839999996</v>
      </c>
      <c r="F42" s="20">
        <v>515350.92000000086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45592</v>
      </c>
      <c r="B43" s="19"/>
      <c r="C43" s="20">
        <v>37496080.420000002</v>
      </c>
      <c r="F43" s="20">
        <v>3959842.0599999996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45599</v>
      </c>
      <c r="B44" s="19"/>
      <c r="C44" s="20">
        <v>37319237.450000003</v>
      </c>
      <c r="F44" s="20">
        <v>2669669.7100000004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45606</v>
      </c>
      <c r="B45" s="19"/>
      <c r="C45" s="20">
        <v>37658770.520000003</v>
      </c>
      <c r="F45" s="20">
        <v>4101217.4599999995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45613</v>
      </c>
      <c r="B46" s="19"/>
      <c r="C46" s="20">
        <v>33127410.129999995</v>
      </c>
      <c r="F46" s="20">
        <v>3115521.8999999994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45620</v>
      </c>
      <c r="B47" s="19"/>
      <c r="C47" s="20">
        <v>31800015.420000006</v>
      </c>
      <c r="F47" s="20">
        <v>3317812.9199999985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45627</v>
      </c>
      <c r="B48" s="19"/>
      <c r="C48" s="20">
        <v>43821135.579999998</v>
      </c>
      <c r="F48" s="20">
        <v>1957663.2800000012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45634</v>
      </c>
      <c r="B49" s="19"/>
      <c r="C49" s="20">
        <v>36304782.310000002</v>
      </c>
      <c r="F49" s="20">
        <v>2363195.3099999982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45641</v>
      </c>
      <c r="B50" s="19"/>
      <c r="C50" s="20">
        <v>31279289.899999999</v>
      </c>
      <c r="F50" s="20">
        <v>2005262.81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45648</v>
      </c>
      <c r="B51" s="19"/>
      <c r="C51" s="20">
        <v>35891868.68</v>
      </c>
      <c r="F51" s="20">
        <v>2031806.2399999993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45655</v>
      </c>
      <c r="B52" s="19"/>
      <c r="C52" s="20">
        <v>36486424.259999998</v>
      </c>
      <c r="F52" s="20">
        <v>3169041.7899999972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45662</v>
      </c>
      <c r="B53" s="19"/>
      <c r="C53" s="20">
        <v>40455241.849999994</v>
      </c>
      <c r="F53" s="20">
        <v>2617822.8699999992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45669</v>
      </c>
      <c r="B54" s="19"/>
      <c r="C54" s="20">
        <v>36435119.350000001</v>
      </c>
      <c r="F54" s="20">
        <v>3560956.890000002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45676</v>
      </c>
      <c r="B55" s="19"/>
      <c r="C55" s="20">
        <v>41126741.060000002</v>
      </c>
      <c r="F55" s="20">
        <v>4074323.6099999957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45683</v>
      </c>
      <c r="B56" s="19"/>
      <c r="C56" s="20">
        <v>34922865.5</v>
      </c>
      <c r="F56" s="20">
        <v>3051120.56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45690</v>
      </c>
      <c r="B57" s="19"/>
      <c r="C57" s="20">
        <v>32525758.199999999</v>
      </c>
      <c r="F57" s="20">
        <v>3825091.3200000026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45697</v>
      </c>
      <c r="B58" s="19"/>
      <c r="C58" s="20">
        <v>36220362.329999998</v>
      </c>
      <c r="F58" s="20">
        <v>2410986.6299999985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45704</v>
      </c>
      <c r="B59" s="19"/>
      <c r="C59" s="20">
        <v>26993420.25</v>
      </c>
      <c r="F59" s="20">
        <v>2490308.7199999988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45711</v>
      </c>
      <c r="B60" s="19"/>
      <c r="C60" s="20">
        <v>30966373.870000001</v>
      </c>
      <c r="F60" s="20">
        <v>2320933.8499999987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45718</v>
      </c>
      <c r="B61" s="19"/>
      <c r="C61" s="20">
        <v>34746668.420000002</v>
      </c>
      <c r="F61" s="20">
        <v>1428793.96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45725</v>
      </c>
      <c r="B62" s="19"/>
      <c r="C62" s="20">
        <v>34412341.170000002</v>
      </c>
      <c r="F62" s="20">
        <v>2250223.9400000009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45732</v>
      </c>
      <c r="B63" s="19"/>
      <c r="C63" s="20">
        <v>36582753.230000004</v>
      </c>
      <c r="F63" s="20">
        <v>2916818.4300000016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45739</v>
      </c>
      <c r="B64" s="19"/>
      <c r="C64" s="20">
        <v>38783963.82</v>
      </c>
      <c r="F64" s="20">
        <v>1845814.3899999997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1748531541.0288649</v>
      </c>
      <c r="F67" s="22">
        <f>SUM(F13:F66)</f>
        <v>133376992.11886482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D14:E64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209B5-627B-4400-8ED3-C243359594C9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14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45018</v>
      </c>
      <c r="B13" s="19"/>
      <c r="C13" s="20">
        <v>40118415.044900134</v>
      </c>
      <c r="F13" s="20">
        <v>3908770.9349001362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45025</v>
      </c>
      <c r="B14" s="19"/>
      <c r="C14" s="20">
        <v>41184343.2182004</v>
      </c>
      <c r="F14" s="32">
        <v>-178678.98179960996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45032</v>
      </c>
      <c r="B15" s="19"/>
      <c r="C15" s="20">
        <v>40885996.40050032</v>
      </c>
      <c r="F15" s="20">
        <v>3623335.8305003182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45039</v>
      </c>
      <c r="B16" s="19"/>
      <c r="C16" s="20">
        <v>47138315.067200214</v>
      </c>
      <c r="F16" s="20">
        <v>4923896.6972002201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45046</v>
      </c>
      <c r="B17" s="19"/>
      <c r="C17" s="20">
        <v>41769265.800000072</v>
      </c>
      <c r="F17" s="20">
        <v>3722143.980000067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45053</v>
      </c>
      <c r="B18" s="19"/>
      <c r="C18" s="20">
        <v>39665810.080000438</v>
      </c>
      <c r="F18" s="20">
        <v>4028118.7900004373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45060</v>
      </c>
      <c r="B19" s="19"/>
      <c r="C19" s="20">
        <v>39228258.542700358</v>
      </c>
      <c r="F19" s="32">
        <v>3114717.0227003531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45067</v>
      </c>
      <c r="B20" s="19"/>
      <c r="C20" s="20">
        <v>37438212.725000001</v>
      </c>
      <c r="F20" s="32">
        <v>2370463.7549999999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45074</v>
      </c>
      <c r="B21" s="19"/>
      <c r="C21" s="20">
        <v>31839176.972500116</v>
      </c>
      <c r="F21" s="32">
        <v>3634774.9825001196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45081</v>
      </c>
      <c r="B22" s="19"/>
      <c r="C22" s="20">
        <v>34648109.990000077</v>
      </c>
      <c r="F22" s="32">
        <v>2273808.9500000784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45088</v>
      </c>
      <c r="B23" s="19"/>
      <c r="C23" s="20">
        <v>32060228.020000089</v>
      </c>
      <c r="F23" s="32">
        <v>2377535.4500000873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45095</v>
      </c>
      <c r="B24" s="19"/>
      <c r="C24" s="20">
        <v>28258544.59749997</v>
      </c>
      <c r="F24" s="32">
        <v>693982.97749997163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45102</v>
      </c>
      <c r="B25" s="19"/>
      <c r="C25" s="20">
        <v>26211658.972400006</v>
      </c>
      <c r="F25" s="32">
        <v>2059859.6824000073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45109</v>
      </c>
      <c r="B26" s="19"/>
      <c r="C26" s="20">
        <v>26694722.411299847</v>
      </c>
      <c r="F26" s="32">
        <v>2580705.1412998512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45116</v>
      </c>
      <c r="B27" s="19"/>
      <c r="C27" s="20">
        <v>28672081.933399949</v>
      </c>
      <c r="F27" s="32">
        <v>2108049.1933999546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45123</v>
      </c>
      <c r="B28" s="19"/>
      <c r="C28" s="20">
        <v>18758930.786400065</v>
      </c>
      <c r="F28" s="32">
        <v>1577387.5564000616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45130</v>
      </c>
      <c r="B29" s="19"/>
      <c r="C29" s="20">
        <v>25374677.803700108</v>
      </c>
      <c r="F29" s="32">
        <v>3018261.6337001082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45137</v>
      </c>
      <c r="B30" s="19"/>
      <c r="C30" s="20">
        <v>26469020.620799903</v>
      </c>
      <c r="F30" s="32">
        <v>2548415.1507999017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45144</v>
      </c>
      <c r="B31" s="19"/>
      <c r="C31" s="20">
        <v>28704798.919999838</v>
      </c>
      <c r="F31" s="32">
        <v>2988916.8699998376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45151</v>
      </c>
      <c r="B32" s="19"/>
      <c r="C32" s="20">
        <v>26456740.262500089</v>
      </c>
      <c r="F32" s="32">
        <v>2006176.1125000897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45158</v>
      </c>
      <c r="B33" s="19"/>
      <c r="C33" s="20">
        <v>25936788.078099955</v>
      </c>
      <c r="F33" s="32">
        <v>2296975.8580999528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45165</v>
      </c>
      <c r="B34" s="19"/>
      <c r="C34" s="20">
        <v>24814211.350000001</v>
      </c>
      <c r="F34" s="32">
        <v>1642221.8800000013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45172</v>
      </c>
      <c r="B35" s="19"/>
      <c r="C35" s="20">
        <v>36253698.370402202</v>
      </c>
      <c r="F35" s="32">
        <v>1538928.4104021988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45179</v>
      </c>
      <c r="B36" s="19"/>
      <c r="C36" s="20">
        <v>40920453.763000004</v>
      </c>
      <c r="F36" s="20">
        <v>4361005.3730000015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45186</v>
      </c>
      <c r="B37" s="19"/>
      <c r="C37" s="20">
        <v>38859834.106300004</v>
      </c>
      <c r="F37" s="20">
        <v>1864731.4262999971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45193</v>
      </c>
      <c r="B38" s="19"/>
      <c r="C38" s="20">
        <v>43390939.992896624</v>
      </c>
      <c r="F38" s="32">
        <v>3120817.1028966168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45200</v>
      </c>
      <c r="B39" s="19"/>
      <c r="C39" s="20">
        <v>42643119.985999532</v>
      </c>
      <c r="F39" s="20">
        <v>89699.235999527387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45207</v>
      </c>
      <c r="B40" s="19"/>
      <c r="C40" s="20">
        <v>40903886.945499569</v>
      </c>
      <c r="F40" s="20">
        <v>2584992.6354995668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45214</v>
      </c>
      <c r="B41" s="19"/>
      <c r="C41" s="20">
        <v>42474081.135499939</v>
      </c>
      <c r="F41" s="20">
        <v>4923947.2654999439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45221</v>
      </c>
      <c r="B42" s="19"/>
      <c r="C42" s="20">
        <v>41920547.516800024</v>
      </c>
      <c r="F42" s="20">
        <v>3944972.0268000187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45228</v>
      </c>
      <c r="B43" s="19"/>
      <c r="C43" s="20">
        <v>46929547.572099008</v>
      </c>
      <c r="F43" s="20">
        <v>1297722.1020990061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45235</v>
      </c>
      <c r="B44" s="19"/>
      <c r="C44" s="20">
        <v>46050322.85729818</v>
      </c>
      <c r="F44" s="20">
        <v>2692128.6772981873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45242</v>
      </c>
      <c r="B45" s="19"/>
      <c r="C45" s="20">
        <v>48256897.96349851</v>
      </c>
      <c r="F45" s="20">
        <v>2840178.6434985036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45249</v>
      </c>
      <c r="B46" s="19"/>
      <c r="C46" s="20">
        <v>46446667.813198157</v>
      </c>
      <c r="F46" s="20">
        <v>4312778.7431981601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45256</v>
      </c>
      <c r="B47" s="19"/>
      <c r="C47" s="20">
        <v>55037518.74859868</v>
      </c>
      <c r="F47" s="20">
        <v>494509.60859867651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45263</v>
      </c>
      <c r="B48" s="19"/>
      <c r="C48" s="20">
        <v>45765735.016797952</v>
      </c>
      <c r="F48" s="20">
        <v>2883643.6367979492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45270</v>
      </c>
      <c r="B49" s="19"/>
      <c r="C49" s="20">
        <v>41561613.643500291</v>
      </c>
      <c r="F49" s="20">
        <v>4468776.9135002922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45277</v>
      </c>
      <c r="B50" s="19"/>
      <c r="C50" s="20">
        <v>43610089.826099694</v>
      </c>
      <c r="F50" s="20">
        <v>3633705.1760996999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45284</v>
      </c>
      <c r="B51" s="19"/>
      <c r="C51" s="20">
        <v>42945134.779999122</v>
      </c>
      <c r="F51" s="20">
        <v>4388253.2499991208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45291</v>
      </c>
      <c r="B52" s="19"/>
      <c r="C52" s="20">
        <v>47865391.617499813</v>
      </c>
      <c r="F52" s="20">
        <v>2901274.7974998113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45298</v>
      </c>
      <c r="B53" s="19"/>
      <c r="C53" s="20">
        <v>46954756.148899861</v>
      </c>
      <c r="F53" s="20">
        <v>566512.72889986075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45305</v>
      </c>
      <c r="B54" s="19"/>
      <c r="C54" s="20">
        <v>45841770.175499596</v>
      </c>
      <c r="F54" s="20">
        <v>5387843.1554995961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45312</v>
      </c>
      <c r="B55" s="19"/>
      <c r="C55" s="20">
        <v>51101184.372399926</v>
      </c>
      <c r="F55" s="20">
        <v>2083623.1623999276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45319</v>
      </c>
      <c r="B56" s="19"/>
      <c r="C56" s="20">
        <v>40504484.138299987</v>
      </c>
      <c r="F56" s="20">
        <v>4041461.1182999811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45326</v>
      </c>
      <c r="B57" s="19"/>
      <c r="C57" s="20">
        <v>36197655.982199818</v>
      </c>
      <c r="F57" s="20">
        <v>3529593.5221998156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45333</v>
      </c>
      <c r="B58" s="19"/>
      <c r="C58" s="20">
        <v>47308448.95859991</v>
      </c>
      <c r="F58" s="32">
        <v>-1333177.3214000943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45340</v>
      </c>
      <c r="B59" s="19"/>
      <c r="C59" s="20">
        <v>35231938.234299615</v>
      </c>
      <c r="F59" s="20">
        <v>1281426.054299613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45347</v>
      </c>
      <c r="B60" s="19"/>
      <c r="C60" s="20">
        <v>35269271.017499961</v>
      </c>
      <c r="F60" s="20">
        <v>3668010.9174999651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45354</v>
      </c>
      <c r="B61" s="19"/>
      <c r="C61" s="20">
        <v>42816015.209299266</v>
      </c>
      <c r="F61" s="20">
        <v>1908160.2592992648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45361</v>
      </c>
      <c r="B62" s="19"/>
      <c r="C62" s="20">
        <v>44053738.939199716</v>
      </c>
      <c r="F62" s="20">
        <v>3335701.3991997065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45368</v>
      </c>
      <c r="B63" s="19"/>
      <c r="C63" s="20">
        <v>48937214.285199404</v>
      </c>
      <c r="F63" s="20">
        <v>3357052.5651994003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45375</v>
      </c>
      <c r="B64" s="19"/>
      <c r="C64" s="20">
        <v>48170659.910200104</v>
      </c>
      <c r="F64" s="20">
        <v>2919476.0502001001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19"/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19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2">
        <f>SUM(C13:C66)</f>
        <v>2026550926.6236866</v>
      </c>
      <c r="F67" s="22">
        <f>SUM(F13:F66)</f>
        <v>140407588.10368636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3"/>
      <c r="D68" s="23"/>
      <c r="E68" s="23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4" t="s">
        <v>5</v>
      </c>
      <c r="B69" s="24"/>
      <c r="C69" s="23"/>
      <c r="D69" s="23"/>
      <c r="E69" s="23"/>
      <c r="F69" s="23"/>
      <c r="G69" s="23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5" t="s">
        <v>9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5" t="s">
        <v>11</v>
      </c>
      <c r="B71" s="35"/>
      <c r="C71" s="35"/>
      <c r="D71" s="35"/>
      <c r="E71" s="35"/>
      <c r="F71" s="35"/>
      <c r="G71" s="35"/>
      <c r="H71" s="35"/>
      <c r="I71" s="35"/>
      <c r="J71" s="35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6" t="s">
        <v>10</v>
      </c>
      <c r="B72" s="36"/>
      <c r="C72" s="36"/>
      <c r="D72" s="36"/>
      <c r="E72" s="36"/>
      <c r="F72" s="36"/>
      <c r="G72" s="36"/>
      <c r="H72" s="36"/>
      <c r="I72" s="36"/>
      <c r="J72" s="36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1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x14ac:dyDescent="0.25">
      <c r="H103" s="23"/>
      <c r="I103" s="21"/>
      <c r="L103"/>
      <c r="M103"/>
      <c r="N103"/>
      <c r="O103"/>
      <c r="P103"/>
      <c r="Q103"/>
      <c r="R103"/>
      <c r="S103"/>
    </row>
    <row r="104" spans="2:21" s="23" customFormat="1" x14ac:dyDescent="0.25">
      <c r="B104" s="6"/>
      <c r="C104" s="20"/>
      <c r="D104" s="20"/>
      <c r="E104" s="20"/>
      <c r="F104" s="20"/>
      <c r="G104" s="20"/>
      <c r="H104" s="20"/>
      <c r="I104" s="20"/>
      <c r="J104" s="21"/>
      <c r="K104" s="20"/>
      <c r="M104" s="21"/>
      <c r="N104" s="20"/>
      <c r="O104" s="20"/>
      <c r="P104" s="20"/>
      <c r="Q104" s="20"/>
      <c r="R104" s="20"/>
      <c r="S104" s="20"/>
    </row>
    <row r="105" spans="2:21" s="23" customFormat="1" x14ac:dyDescent="0.25">
      <c r="B105" s="6"/>
      <c r="C105" s="20"/>
      <c r="D105" s="20"/>
      <c r="E105" s="20"/>
      <c r="F105" s="20"/>
      <c r="G105" s="20"/>
      <c r="H105" s="25"/>
      <c r="I105" s="25"/>
      <c r="J105" s="26"/>
      <c r="K105" s="25"/>
      <c r="M105" s="21"/>
      <c r="N105" s="20"/>
      <c r="O105" s="20"/>
      <c r="P105" s="20"/>
      <c r="Q105" s="20"/>
      <c r="R105" s="20"/>
      <c r="S105" s="20"/>
    </row>
    <row r="106" spans="2:21" x14ac:dyDescent="0.25">
      <c r="I106" s="21"/>
      <c r="L106" s="20"/>
      <c r="M106" s="20"/>
      <c r="T106" s="20"/>
      <c r="U106" s="20"/>
    </row>
    <row r="107" spans="2:21" x14ac:dyDescent="0.25">
      <c r="I107" s="21"/>
      <c r="L107" s="25"/>
      <c r="M107" s="25"/>
      <c r="N107" s="25"/>
      <c r="O107" s="25"/>
      <c r="P107" s="25"/>
      <c r="Q107" s="25"/>
      <c r="R107" s="25"/>
      <c r="T107" s="20"/>
      <c r="U107" s="20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x14ac:dyDescent="0.25">
      <c r="I117" s="21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I206" s="21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  <row r="208" spans="2:24" s="20" customFormat="1" x14ac:dyDescent="0.25">
      <c r="B208" s="6"/>
      <c r="L208" s="21"/>
      <c r="M208" s="21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2C21-0D86-4A10-8B13-C5EF58B77FA4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0" customWidth="1"/>
    <col min="4" max="4" width="11.140625" style="20" customWidth="1"/>
    <col min="5" max="5" width="8.7109375" style="20" customWidth="1"/>
    <col min="6" max="6" width="15.7109375" style="20" customWidth="1"/>
    <col min="7" max="7" width="8.7109375" style="20" customWidth="1"/>
    <col min="8" max="8" width="2.5703125" style="20" customWidth="1"/>
    <col min="9" max="9" width="7.7109375" style="20" customWidth="1"/>
    <col min="10" max="10" width="12.85546875" style="20" customWidth="1"/>
    <col min="11" max="11" width="11.85546875" style="20" customWidth="1"/>
    <col min="12" max="12" width="2" style="21" customWidth="1"/>
    <col min="13" max="13" width="8.28515625" style="21" customWidth="1"/>
    <col min="14" max="14" width="11" style="20" customWidth="1"/>
    <col min="15" max="15" width="1.85546875" style="20" customWidth="1"/>
    <col min="16" max="16" width="11.85546875" style="20" bestFit="1" customWidth="1"/>
    <col min="17" max="17" width="11.5703125" style="20" customWidth="1"/>
    <col min="18" max="18" width="1.85546875" style="20" customWidth="1"/>
    <col min="19" max="19" width="12.85546875" style="20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4"/>
      <c r="U3" s="4"/>
      <c r="V3" s="4"/>
      <c r="W3" s="4"/>
      <c r="X3" s="4"/>
    </row>
    <row r="4" spans="1:24" s="3" customFormat="1" ht="18" x14ac:dyDescent="0.25">
      <c r="B4" s="28"/>
      <c r="C4" s="28"/>
      <c r="D4" s="28"/>
      <c r="E4" s="28"/>
      <c r="F4" s="28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3" t="s">
        <v>13</v>
      </c>
      <c r="B6" s="33"/>
      <c r="C6" s="33"/>
      <c r="D6" s="33"/>
      <c r="E6" s="33"/>
      <c r="F6" s="33"/>
      <c r="G6" s="33"/>
      <c r="H6" s="33"/>
      <c r="I6" s="33"/>
      <c r="J6" s="33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4" t="s">
        <v>7</v>
      </c>
      <c r="C8" s="34"/>
      <c r="D8" s="34"/>
      <c r="E8" s="34"/>
      <c r="F8" s="34"/>
      <c r="G8" s="34"/>
    </row>
    <row r="9" spans="1:24" s="13" customFormat="1" ht="12.75" x14ac:dyDescent="0.2">
      <c r="B9" s="30"/>
      <c r="C9" s="30"/>
      <c r="D9" s="30"/>
      <c r="E9" s="30"/>
      <c r="F9" s="30"/>
      <c r="G9" s="30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6" customFormat="1" ht="12" x14ac:dyDescent="0.2">
      <c r="B11" s="31"/>
      <c r="C11" s="14" t="s">
        <v>0</v>
      </c>
      <c r="D11" s="14"/>
      <c r="E11" s="14"/>
      <c r="F11" s="14" t="s">
        <v>0</v>
      </c>
      <c r="G11" s="14"/>
      <c r="H11" s="14"/>
    </row>
    <row r="12" spans="1:24" s="16" customFormat="1" ht="12" x14ac:dyDescent="0.2">
      <c r="A12" s="17" t="s">
        <v>2</v>
      </c>
      <c r="B12" s="17"/>
      <c r="C12" s="18" t="s">
        <v>4</v>
      </c>
      <c r="D12" s="18"/>
      <c r="E12" s="18"/>
      <c r="F12" s="18" t="s">
        <v>3</v>
      </c>
      <c r="G12" s="18"/>
      <c r="H12" s="14"/>
    </row>
    <row r="13" spans="1:24" x14ac:dyDescent="0.25">
      <c r="A13" s="19">
        <v>44654</v>
      </c>
      <c r="B13" s="19"/>
      <c r="C13" s="20">
        <v>48873594.744999096</v>
      </c>
      <c r="F13" s="20">
        <v>4254072.1749991002</v>
      </c>
      <c r="G13"/>
      <c r="H13"/>
      <c r="I13"/>
      <c r="L13" s="20"/>
      <c r="M13" s="20"/>
      <c r="N13"/>
      <c r="O13"/>
      <c r="P13"/>
      <c r="Q13"/>
      <c r="R13"/>
      <c r="S13"/>
    </row>
    <row r="14" spans="1:24" x14ac:dyDescent="0.25">
      <c r="A14" s="19">
        <f t="shared" ref="A14:A64" si="0">A13+7</f>
        <v>44661</v>
      </c>
      <c r="B14" s="19"/>
      <c r="C14" s="20">
        <v>49359984.445</v>
      </c>
      <c r="F14" s="20">
        <v>694637.00499999989</v>
      </c>
      <c r="G14"/>
      <c r="H14"/>
      <c r="I14"/>
      <c r="L14" s="20"/>
      <c r="M14" s="20"/>
      <c r="N14"/>
      <c r="O14"/>
      <c r="P14"/>
      <c r="Q14"/>
      <c r="R14"/>
      <c r="S14"/>
    </row>
    <row r="15" spans="1:24" x14ac:dyDescent="0.25">
      <c r="A15" s="19">
        <f t="shared" si="0"/>
        <v>44668</v>
      </c>
      <c r="B15" s="19"/>
      <c r="C15" s="20">
        <v>49871012.09249904</v>
      </c>
      <c r="F15" s="20">
        <v>3354558.9924990362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19">
        <f t="shared" si="0"/>
        <v>44675</v>
      </c>
      <c r="B16" s="19"/>
      <c r="C16" s="20">
        <v>54234036.839999862</v>
      </c>
      <c r="F16" s="20">
        <v>3929039.7799998634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19">
        <f t="shared" si="0"/>
        <v>44682</v>
      </c>
      <c r="B17" s="19"/>
      <c r="C17" s="20">
        <v>43967120.827499688</v>
      </c>
      <c r="F17" s="20">
        <v>1361370.7374996813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19">
        <f t="shared" si="0"/>
        <v>44689</v>
      </c>
      <c r="B18" s="19"/>
      <c r="C18" s="20">
        <v>52028639.666199625</v>
      </c>
      <c r="F18" s="20">
        <v>4633806.7361996248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19">
        <f t="shared" si="0"/>
        <v>44696</v>
      </c>
      <c r="B19" s="19"/>
      <c r="C19" s="20">
        <v>45379532.930750035</v>
      </c>
      <c r="F19" s="32">
        <v>3090371.6807500338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19">
        <f t="shared" si="0"/>
        <v>44703</v>
      </c>
      <c r="B20" s="19"/>
      <c r="C20" s="20">
        <v>40617910.478301473</v>
      </c>
      <c r="F20" s="32">
        <v>2351657.4283014731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19">
        <f t="shared" si="0"/>
        <v>44710</v>
      </c>
      <c r="B21" s="19"/>
      <c r="C21" s="20">
        <v>38568006.272499949</v>
      </c>
      <c r="F21" s="32">
        <v>1561717.4824999515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19">
        <f t="shared" si="0"/>
        <v>44717</v>
      </c>
      <c r="B22" s="19"/>
      <c r="C22" s="20">
        <v>40573583.552499518</v>
      </c>
      <c r="F22" s="32">
        <v>171656.61249952205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19">
        <f t="shared" si="0"/>
        <v>44724</v>
      </c>
      <c r="B23" s="19"/>
      <c r="C23" s="20">
        <v>37099240.594999492</v>
      </c>
      <c r="F23" s="32">
        <v>2969372.5249994891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19">
        <f t="shared" si="0"/>
        <v>44731</v>
      </c>
      <c r="B24" s="19"/>
      <c r="C24" s="20">
        <v>38190994.269999482</v>
      </c>
      <c r="F24" s="32">
        <v>-962042.83000052348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19">
        <f t="shared" si="0"/>
        <v>44738</v>
      </c>
      <c r="B25" s="19"/>
      <c r="C25" s="20">
        <v>33064982.971999999</v>
      </c>
      <c r="F25" s="32">
        <v>2249100.9819999998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19">
        <f t="shared" si="0"/>
        <v>44745</v>
      </c>
      <c r="B26" s="19"/>
      <c r="C26" s="20">
        <v>31266883.365000013</v>
      </c>
      <c r="F26" s="32">
        <v>1822442.9650000171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19">
        <f t="shared" si="0"/>
        <v>44752</v>
      </c>
      <c r="B27" s="19"/>
      <c r="C27" s="20">
        <v>30542769.597249143</v>
      </c>
      <c r="F27" s="32">
        <v>3596757.5372491437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19">
        <f t="shared" si="0"/>
        <v>44759</v>
      </c>
      <c r="B28" s="19"/>
      <c r="C28" s="20">
        <v>27881922.302999932</v>
      </c>
      <c r="F28" s="32">
        <v>547043.03299992799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19">
        <f t="shared" si="0"/>
        <v>44766</v>
      </c>
      <c r="B29" s="19"/>
      <c r="C29" s="20">
        <v>20387153.224000014</v>
      </c>
      <c r="F29" s="32">
        <v>2219462.4640000169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19">
        <f t="shared" si="0"/>
        <v>44773</v>
      </c>
      <c r="B30" s="19"/>
      <c r="C30" s="20">
        <v>24955129.53449963</v>
      </c>
      <c r="F30" s="32">
        <v>1645226.9744996279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19">
        <f t="shared" si="0"/>
        <v>44780</v>
      </c>
      <c r="B31" s="19"/>
      <c r="C31" s="20">
        <v>27835617.55624951</v>
      </c>
      <c r="F31" s="32">
        <v>2593044.5362495133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19">
        <f t="shared" si="0"/>
        <v>44787</v>
      </c>
      <c r="B32" s="19"/>
      <c r="C32" s="20">
        <v>26364363.146416552</v>
      </c>
      <c r="F32" s="32">
        <v>2651787.9164165524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19">
        <f t="shared" si="0"/>
        <v>44794</v>
      </c>
      <c r="B33" s="19"/>
      <c r="C33" s="20">
        <v>26880134.453749985</v>
      </c>
      <c r="F33" s="32">
        <v>2991495.3837499903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19">
        <f t="shared" si="0"/>
        <v>44801</v>
      </c>
      <c r="B34" s="19"/>
      <c r="C34" s="20">
        <v>26343973.278749976</v>
      </c>
      <c r="F34" s="32">
        <v>2913338.6887499737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19">
        <f t="shared" si="0"/>
        <v>44808</v>
      </c>
      <c r="B35" s="19"/>
      <c r="C35" s="20">
        <v>29087256.795500007</v>
      </c>
      <c r="F35" s="32">
        <v>2945606.2655000081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19">
        <f t="shared" si="0"/>
        <v>44815</v>
      </c>
      <c r="B36" s="19"/>
      <c r="C36" s="20">
        <v>43078902.898948736</v>
      </c>
      <c r="F36" s="20">
        <v>4315489.5289487299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19">
        <f t="shared" si="0"/>
        <v>44822</v>
      </c>
      <c r="B37" s="19"/>
      <c r="C37" s="20">
        <v>40984922.702246808</v>
      </c>
      <c r="F37" s="20">
        <v>5308709.5722468048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19">
        <f t="shared" si="0"/>
        <v>44829</v>
      </c>
      <c r="B38" s="19"/>
      <c r="C38" s="20">
        <v>39429501.415497318</v>
      </c>
      <c r="F38" s="32">
        <v>3818314.4054973205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19">
        <f t="shared" si="0"/>
        <v>44836</v>
      </c>
      <c r="B39" s="19"/>
      <c r="C39" s="20">
        <v>40406056.187998325</v>
      </c>
      <c r="F39" s="20">
        <v>852994.27799832495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19">
        <f t="shared" si="0"/>
        <v>44843</v>
      </c>
      <c r="B40" s="19"/>
      <c r="C40" s="20">
        <v>41863201.170747593</v>
      </c>
      <c r="F40" s="20">
        <v>5304036.3207475916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19">
        <f t="shared" si="0"/>
        <v>44850</v>
      </c>
      <c r="B41" s="19"/>
      <c r="C41" s="20">
        <v>39938492.171247303</v>
      </c>
      <c r="F41" s="20">
        <v>3321993.3912473018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19">
        <f t="shared" si="0"/>
        <v>44857</v>
      </c>
      <c r="B42" s="19"/>
      <c r="C42" s="20">
        <v>45944387.862998262</v>
      </c>
      <c r="F42" s="20">
        <v>3835624.4129982553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19">
        <f t="shared" si="0"/>
        <v>44864</v>
      </c>
      <c r="B43" s="19"/>
      <c r="C43" s="20">
        <v>43011142.838498436</v>
      </c>
      <c r="F43" s="20">
        <v>4499153.2584984396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19">
        <f t="shared" si="0"/>
        <v>44871</v>
      </c>
      <c r="B44" s="19"/>
      <c r="C44" s="20">
        <v>44143743.282248996</v>
      </c>
      <c r="F44" s="20">
        <v>4174846.1922490001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19">
        <f t="shared" si="0"/>
        <v>44878</v>
      </c>
      <c r="B45" s="19"/>
      <c r="C45" s="20">
        <v>43716729.206999049</v>
      </c>
      <c r="F45" s="20">
        <v>3154889.0369990398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19">
        <f t="shared" si="0"/>
        <v>44885</v>
      </c>
      <c r="B46" s="19"/>
      <c r="C46" s="20">
        <v>44409637.973749429</v>
      </c>
      <c r="F46" s="20">
        <v>4812668.7437494267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19">
        <f t="shared" si="0"/>
        <v>44892</v>
      </c>
      <c r="B47" s="19"/>
      <c r="C47" s="20">
        <v>56145471.476999909</v>
      </c>
      <c r="F47" s="20">
        <v>2803348.4469999098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19">
        <f t="shared" si="0"/>
        <v>44899</v>
      </c>
      <c r="B48" s="19"/>
      <c r="C48" s="20">
        <v>50676211.301499046</v>
      </c>
      <c r="F48" s="20">
        <v>2454583.2614990501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19">
        <f t="shared" si="0"/>
        <v>44906</v>
      </c>
      <c r="B49" s="19"/>
      <c r="C49" s="20">
        <v>45393726.855249643</v>
      </c>
      <c r="F49" s="20">
        <v>5831525.7352496432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19">
        <f t="shared" si="0"/>
        <v>44913</v>
      </c>
      <c r="B50" s="19"/>
      <c r="C50" s="20">
        <v>45593400.531000003</v>
      </c>
      <c r="F50" s="20">
        <v>1509761.571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19">
        <f t="shared" si="0"/>
        <v>44920</v>
      </c>
      <c r="B51" s="19"/>
      <c r="C51" s="20">
        <v>45812402.361499935</v>
      </c>
      <c r="F51" s="20">
        <v>3510595.0214999411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19">
        <f t="shared" si="0"/>
        <v>44927</v>
      </c>
      <c r="B52" s="19"/>
      <c r="C52" s="20">
        <v>52983702.830000438</v>
      </c>
      <c r="F52" s="20">
        <v>2683230.1200004322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19">
        <f t="shared" si="0"/>
        <v>44934</v>
      </c>
      <c r="B53" s="19"/>
      <c r="C53" s="20">
        <v>51689066.534500033</v>
      </c>
      <c r="F53" s="20">
        <v>1670891.7145000314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19">
        <f t="shared" si="0"/>
        <v>44941</v>
      </c>
      <c r="B54" s="19"/>
      <c r="C54" s="20">
        <v>52394506.912499994</v>
      </c>
      <c r="F54" s="20">
        <v>2958423.0225000018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19">
        <f t="shared" si="0"/>
        <v>44948</v>
      </c>
      <c r="B55" s="19"/>
      <c r="C55" s="20">
        <v>57527200.665000185</v>
      </c>
      <c r="F55" s="20">
        <v>6077120.055000186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19">
        <f t="shared" si="0"/>
        <v>44955</v>
      </c>
      <c r="B56" s="19"/>
      <c r="C56" s="20">
        <v>43001354.765000552</v>
      </c>
      <c r="F56" s="20">
        <v>3972230.8150005522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19">
        <f t="shared" si="0"/>
        <v>44962</v>
      </c>
      <c r="B57" s="19"/>
      <c r="C57" s="20">
        <v>40430549.512500159</v>
      </c>
      <c r="F57" s="20">
        <v>4618739.0125001548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19">
        <f t="shared" si="0"/>
        <v>44969</v>
      </c>
      <c r="B58" s="19"/>
      <c r="C58" s="20">
        <v>58862751.567499444</v>
      </c>
      <c r="F58" s="32">
        <v>-1315651.3025005599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19">
        <f t="shared" si="0"/>
        <v>44976</v>
      </c>
      <c r="B59" s="19"/>
      <c r="C59" s="20">
        <v>44587152.914999731</v>
      </c>
      <c r="F59" s="20">
        <v>1400239.1649997318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19">
        <f t="shared" si="0"/>
        <v>44983</v>
      </c>
      <c r="B60" s="19"/>
      <c r="C60" s="20">
        <v>46008271.849999972</v>
      </c>
      <c r="F60" s="20">
        <v>2980326.2399999662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19">
        <f t="shared" si="0"/>
        <v>44990</v>
      </c>
      <c r="B61" s="19"/>
      <c r="C61" s="20">
        <v>55786532.784999952</v>
      </c>
      <c r="F61" s="20">
        <v>2984042.0549999587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19">
        <f t="shared" si="0"/>
        <v>44997</v>
      </c>
      <c r="B62" s="19"/>
      <c r="C62" s="20">
        <v>58964547</v>
      </c>
      <c r="F62" s="20">
        <v>3890522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19">
        <f t="shared" si="0"/>
        <v>45004</v>
      </c>
      <c r="B63" s="19"/>
      <c r="C63" s="20">
        <v>63096350</v>
      </c>
      <c r="F63" s="20">
        <v>2848089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19">
        <f t="shared" si="0"/>
        <v>45011</v>
      </c>
      <c r="B64" s="19"/>
      <c r="C64" s="20">
        <v>46138033.349699996</v>
      </c>
      <c r="F64" s="20">
        <v>3771021.7696999889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19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2">
        <f>SUM(C13:C65)</f>
        <v>2225391793.8657913</v>
      </c>
      <c r="F66" s="22">
        <f>SUM(F13:F65)</f>
        <v>151633281.91579127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3"/>
      <c r="D67" s="23"/>
      <c r="E67" s="23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4" t="s">
        <v>5</v>
      </c>
      <c r="B68" s="24"/>
      <c r="C68" s="23"/>
      <c r="D68" s="23"/>
      <c r="E68" s="23"/>
      <c r="F68" s="23"/>
      <c r="G68" s="23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5" t="s">
        <v>9</v>
      </c>
      <c r="B69" s="35"/>
      <c r="C69" s="35"/>
      <c r="D69" s="35"/>
      <c r="E69" s="35"/>
      <c r="F69" s="35"/>
      <c r="G69" s="35"/>
      <c r="H69" s="35"/>
      <c r="I69" s="35"/>
      <c r="J69" s="35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5" t="s">
        <v>11</v>
      </c>
      <c r="B70" s="35"/>
      <c r="C70" s="35"/>
      <c r="D70" s="35"/>
      <c r="E70" s="35"/>
      <c r="F70" s="35"/>
      <c r="G70" s="35"/>
      <c r="H70" s="35"/>
      <c r="I70" s="35"/>
      <c r="J70" s="35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  <c r="K71"/>
      <c r="L71"/>
      <c r="M71"/>
      <c r="N71"/>
      <c r="O71"/>
      <c r="P71"/>
      <c r="Q71"/>
      <c r="R71"/>
      <c r="S71"/>
    </row>
    <row r="72" spans="1:19" x14ac:dyDescent="0.25">
      <c r="G72" s="21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1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1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1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1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1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1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1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1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1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1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1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1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1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1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3"/>
      <c r="I101" s="21"/>
      <c r="L101"/>
      <c r="M101"/>
      <c r="N101"/>
      <c r="O101"/>
      <c r="P101"/>
      <c r="Q101"/>
      <c r="R101"/>
      <c r="S101"/>
    </row>
    <row r="102" spans="2:21" x14ac:dyDescent="0.25">
      <c r="H102" s="23"/>
      <c r="I102" s="21"/>
      <c r="L102"/>
      <c r="M102"/>
      <c r="N102"/>
      <c r="O102"/>
      <c r="P102"/>
      <c r="Q102"/>
      <c r="R102"/>
      <c r="S102"/>
    </row>
    <row r="103" spans="2:21" s="23" customFormat="1" x14ac:dyDescent="0.25">
      <c r="B103" s="6"/>
      <c r="C103" s="20"/>
      <c r="D103" s="20"/>
      <c r="E103" s="20"/>
      <c r="F103" s="20"/>
      <c r="G103" s="20"/>
      <c r="H103" s="20"/>
      <c r="I103" s="20"/>
      <c r="J103" s="21"/>
      <c r="K103" s="20"/>
      <c r="M103" s="21"/>
      <c r="N103" s="20"/>
      <c r="O103" s="20"/>
      <c r="P103" s="20"/>
      <c r="Q103" s="20"/>
      <c r="R103" s="20"/>
      <c r="S103" s="20"/>
    </row>
    <row r="104" spans="2:21" s="23" customFormat="1" x14ac:dyDescent="0.25">
      <c r="B104" s="6"/>
      <c r="C104" s="20"/>
      <c r="D104" s="20"/>
      <c r="E104" s="20"/>
      <c r="F104" s="20"/>
      <c r="G104" s="20"/>
      <c r="H104" s="25"/>
      <c r="I104" s="25"/>
      <c r="J104" s="26"/>
      <c r="K104" s="25"/>
      <c r="M104" s="21"/>
      <c r="N104" s="20"/>
      <c r="O104" s="20"/>
      <c r="P104" s="20"/>
      <c r="Q104" s="20"/>
      <c r="R104" s="20"/>
      <c r="S104" s="20"/>
    </row>
    <row r="105" spans="2:21" x14ac:dyDescent="0.25">
      <c r="I105" s="21"/>
      <c r="L105" s="20"/>
      <c r="M105" s="20"/>
      <c r="T105" s="20"/>
      <c r="U105" s="20"/>
    </row>
    <row r="106" spans="2:21" x14ac:dyDescent="0.25">
      <c r="I106" s="21"/>
      <c r="L106" s="25"/>
      <c r="M106" s="25"/>
      <c r="N106" s="25"/>
      <c r="O106" s="25"/>
      <c r="P106" s="25"/>
      <c r="Q106" s="25"/>
      <c r="R106" s="25"/>
      <c r="T106" s="20"/>
      <c r="U106" s="20"/>
    </row>
    <row r="107" spans="2:21" x14ac:dyDescent="0.25">
      <c r="I107" s="21"/>
    </row>
    <row r="108" spans="2:21" x14ac:dyDescent="0.25">
      <c r="I108" s="21"/>
    </row>
    <row r="109" spans="2:21" x14ac:dyDescent="0.25">
      <c r="I109" s="21"/>
    </row>
    <row r="110" spans="2:21" x14ac:dyDescent="0.25">
      <c r="I110" s="21"/>
    </row>
    <row r="111" spans="2:21" x14ac:dyDescent="0.25">
      <c r="I111" s="21"/>
    </row>
    <row r="112" spans="2:21" x14ac:dyDescent="0.25">
      <c r="I112" s="21"/>
    </row>
    <row r="113" spans="2:24" x14ac:dyDescent="0.25">
      <c r="I113" s="21"/>
    </row>
    <row r="114" spans="2:24" x14ac:dyDescent="0.25">
      <c r="I114" s="21"/>
    </row>
    <row r="115" spans="2:24" x14ac:dyDescent="0.25">
      <c r="I115" s="21"/>
    </row>
    <row r="116" spans="2:24" x14ac:dyDescent="0.25">
      <c r="I116" s="21"/>
    </row>
    <row r="117" spans="2:24" s="20" customFormat="1" x14ac:dyDescent="0.25">
      <c r="B117" s="6"/>
      <c r="I117" s="21"/>
      <c r="L117" s="21"/>
      <c r="M117" s="21"/>
      <c r="T117"/>
      <c r="U117"/>
      <c r="V117"/>
      <c r="W117"/>
      <c r="X117"/>
    </row>
    <row r="118" spans="2:24" s="20" customFormat="1" x14ac:dyDescent="0.25">
      <c r="B118" s="6"/>
      <c r="I118" s="21"/>
      <c r="L118" s="21"/>
      <c r="M118" s="21"/>
      <c r="T118"/>
      <c r="U118"/>
      <c r="V118"/>
      <c r="W118"/>
      <c r="X118"/>
    </row>
    <row r="119" spans="2:24" s="20" customFormat="1" x14ac:dyDescent="0.25">
      <c r="B119" s="6"/>
      <c r="I119" s="21"/>
      <c r="L119" s="21"/>
      <c r="M119" s="21"/>
      <c r="T119"/>
      <c r="U119"/>
      <c r="V119"/>
      <c r="W119"/>
      <c r="X119"/>
    </row>
    <row r="120" spans="2:24" s="20" customFormat="1" x14ac:dyDescent="0.25">
      <c r="B120" s="6"/>
      <c r="I120" s="21"/>
      <c r="L120" s="21"/>
      <c r="M120" s="21"/>
      <c r="T120"/>
      <c r="U120"/>
      <c r="V120"/>
      <c r="W120"/>
      <c r="X120"/>
    </row>
    <row r="121" spans="2:24" s="20" customFormat="1" x14ac:dyDescent="0.25">
      <c r="B121" s="6"/>
      <c r="I121" s="21"/>
      <c r="L121" s="21"/>
      <c r="M121" s="21"/>
      <c r="T121"/>
      <c r="U121"/>
      <c r="V121"/>
      <c r="W121"/>
      <c r="X121"/>
    </row>
    <row r="122" spans="2:24" s="20" customFormat="1" x14ac:dyDescent="0.25">
      <c r="B122" s="6"/>
      <c r="I122" s="21"/>
      <c r="L122" s="21"/>
      <c r="M122" s="21"/>
      <c r="T122"/>
      <c r="U122"/>
      <c r="V122"/>
      <c r="W122"/>
      <c r="X122"/>
    </row>
    <row r="123" spans="2:24" s="20" customFormat="1" x14ac:dyDescent="0.25">
      <c r="B123" s="6"/>
      <c r="I123" s="21"/>
      <c r="L123" s="21"/>
      <c r="M123" s="21"/>
      <c r="T123"/>
      <c r="U123"/>
      <c r="V123"/>
      <c r="W123"/>
      <c r="X123"/>
    </row>
    <row r="124" spans="2:24" s="20" customFormat="1" x14ac:dyDescent="0.25">
      <c r="B124" s="6"/>
      <c r="I124" s="21"/>
      <c r="L124" s="21"/>
      <c r="M124" s="21"/>
      <c r="T124"/>
      <c r="U124"/>
      <c r="V124"/>
      <c r="W124"/>
      <c r="X124"/>
    </row>
    <row r="125" spans="2:24" s="20" customFormat="1" x14ac:dyDescent="0.25">
      <c r="B125" s="6"/>
      <c r="I125" s="21"/>
      <c r="L125" s="21"/>
      <c r="M125" s="21"/>
      <c r="T125"/>
      <c r="U125"/>
      <c r="V125"/>
      <c r="W125"/>
      <c r="X125"/>
    </row>
    <row r="126" spans="2:24" s="20" customFormat="1" x14ac:dyDescent="0.25">
      <c r="B126" s="6"/>
      <c r="I126" s="21"/>
      <c r="L126" s="21"/>
      <c r="M126" s="21"/>
      <c r="T126"/>
      <c r="U126"/>
      <c r="V126"/>
      <c r="W126"/>
      <c r="X126"/>
    </row>
    <row r="127" spans="2:24" s="20" customFormat="1" x14ac:dyDescent="0.25">
      <c r="B127" s="6"/>
      <c r="I127" s="21"/>
      <c r="L127" s="21"/>
      <c r="M127" s="21"/>
      <c r="T127"/>
      <c r="U127"/>
      <c r="V127"/>
      <c r="W127"/>
      <c r="X127"/>
    </row>
    <row r="128" spans="2:24" s="20" customFormat="1" x14ac:dyDescent="0.25">
      <c r="B128" s="6"/>
      <c r="I128" s="21"/>
      <c r="L128" s="21"/>
      <c r="M128" s="21"/>
      <c r="T128"/>
      <c r="U128"/>
      <c r="V128"/>
      <c r="W128"/>
      <c r="X128"/>
    </row>
    <row r="129" spans="2:24" s="20" customFormat="1" x14ac:dyDescent="0.25">
      <c r="B129" s="6"/>
      <c r="I129" s="21"/>
      <c r="L129" s="21"/>
      <c r="M129" s="21"/>
      <c r="T129"/>
      <c r="U129"/>
      <c r="V129"/>
      <c r="W129"/>
      <c r="X129"/>
    </row>
    <row r="130" spans="2:24" s="20" customFormat="1" x14ac:dyDescent="0.25">
      <c r="B130" s="6"/>
      <c r="I130" s="21"/>
      <c r="L130" s="21"/>
      <c r="M130" s="21"/>
      <c r="T130"/>
      <c r="U130"/>
      <c r="V130"/>
      <c r="W130"/>
      <c r="X130"/>
    </row>
    <row r="131" spans="2:24" s="20" customFormat="1" x14ac:dyDescent="0.25">
      <c r="B131" s="6"/>
      <c r="I131" s="21"/>
      <c r="L131" s="21"/>
      <c r="M131" s="21"/>
      <c r="T131"/>
      <c r="U131"/>
      <c r="V131"/>
      <c r="W131"/>
      <c r="X131"/>
    </row>
    <row r="132" spans="2:24" s="20" customFormat="1" x14ac:dyDescent="0.25">
      <c r="B132" s="6"/>
      <c r="I132" s="21"/>
      <c r="L132" s="21"/>
      <c r="M132" s="21"/>
      <c r="T132"/>
      <c r="U132"/>
      <c r="V132"/>
      <c r="W132"/>
      <c r="X132"/>
    </row>
    <row r="133" spans="2:24" s="20" customFormat="1" x14ac:dyDescent="0.25">
      <c r="B133" s="6"/>
      <c r="I133" s="21"/>
      <c r="L133" s="21"/>
      <c r="M133" s="21"/>
      <c r="T133"/>
      <c r="U133"/>
      <c r="V133"/>
      <c r="W133"/>
      <c r="X133"/>
    </row>
    <row r="134" spans="2:24" s="20" customFormat="1" x14ac:dyDescent="0.25">
      <c r="B134" s="6"/>
      <c r="I134" s="21"/>
      <c r="L134" s="21"/>
      <c r="M134" s="21"/>
      <c r="T134"/>
      <c r="U134"/>
      <c r="V134"/>
      <c r="W134"/>
      <c r="X134"/>
    </row>
    <row r="135" spans="2:24" s="20" customFormat="1" x14ac:dyDescent="0.25">
      <c r="B135" s="6"/>
      <c r="I135" s="21"/>
      <c r="L135" s="21"/>
      <c r="M135" s="21"/>
      <c r="T135"/>
      <c r="U135"/>
      <c r="V135"/>
      <c r="W135"/>
      <c r="X135"/>
    </row>
    <row r="136" spans="2:24" s="20" customFormat="1" x14ac:dyDescent="0.25">
      <c r="B136" s="6"/>
      <c r="I136" s="21"/>
      <c r="L136" s="21"/>
      <c r="M136" s="21"/>
      <c r="T136"/>
      <c r="U136"/>
      <c r="V136"/>
      <c r="W136"/>
      <c r="X136"/>
    </row>
    <row r="137" spans="2:24" s="20" customFormat="1" x14ac:dyDescent="0.25">
      <c r="B137" s="6"/>
      <c r="I137" s="21"/>
      <c r="L137" s="21"/>
      <c r="M137" s="21"/>
      <c r="T137"/>
      <c r="U137"/>
      <c r="V137"/>
      <c r="W137"/>
      <c r="X137"/>
    </row>
    <row r="138" spans="2:24" s="20" customFormat="1" x14ac:dyDescent="0.25">
      <c r="B138" s="6"/>
      <c r="I138" s="21"/>
      <c r="L138" s="21"/>
      <c r="M138" s="21"/>
      <c r="T138"/>
      <c r="U138"/>
      <c r="V138"/>
      <c r="W138"/>
      <c r="X138"/>
    </row>
    <row r="139" spans="2:24" s="20" customFormat="1" x14ac:dyDescent="0.25">
      <c r="B139" s="6"/>
      <c r="I139" s="21"/>
      <c r="L139" s="21"/>
      <c r="M139" s="21"/>
      <c r="T139"/>
      <c r="U139"/>
      <c r="V139"/>
      <c r="W139"/>
      <c r="X139"/>
    </row>
    <row r="140" spans="2:24" s="20" customFormat="1" x14ac:dyDescent="0.25">
      <c r="B140" s="6"/>
      <c r="I140" s="21"/>
      <c r="L140" s="21"/>
      <c r="M140" s="21"/>
      <c r="T140"/>
      <c r="U140"/>
      <c r="V140"/>
      <c r="W140"/>
      <c r="X140"/>
    </row>
    <row r="141" spans="2:24" s="20" customFormat="1" x14ac:dyDescent="0.25">
      <c r="B141" s="6"/>
      <c r="I141" s="21"/>
      <c r="L141" s="21"/>
      <c r="M141" s="21"/>
      <c r="T141"/>
      <c r="U141"/>
      <c r="V141"/>
      <c r="W141"/>
      <c r="X141"/>
    </row>
    <row r="142" spans="2:24" s="20" customFormat="1" x14ac:dyDescent="0.25">
      <c r="B142" s="6"/>
      <c r="I142" s="21"/>
      <c r="L142" s="21"/>
      <c r="M142" s="21"/>
      <c r="T142"/>
      <c r="U142"/>
      <c r="V142"/>
      <c r="W142"/>
      <c r="X142"/>
    </row>
    <row r="143" spans="2:24" s="20" customFormat="1" x14ac:dyDescent="0.25">
      <c r="B143" s="6"/>
      <c r="I143" s="21"/>
      <c r="L143" s="21"/>
      <c r="M143" s="21"/>
      <c r="T143"/>
      <c r="U143"/>
      <c r="V143"/>
      <c r="W143"/>
      <c r="X143"/>
    </row>
    <row r="144" spans="2:24" s="20" customFormat="1" x14ac:dyDescent="0.25">
      <c r="B144" s="6"/>
      <c r="I144" s="21"/>
      <c r="L144" s="21"/>
      <c r="M144" s="21"/>
      <c r="T144"/>
      <c r="U144"/>
      <c r="V144"/>
      <c r="W144"/>
      <c r="X144"/>
    </row>
    <row r="145" spans="2:24" s="20" customFormat="1" x14ac:dyDescent="0.25">
      <c r="B145" s="6"/>
      <c r="I145" s="21"/>
      <c r="L145" s="21"/>
      <c r="M145" s="21"/>
      <c r="T145"/>
      <c r="U145"/>
      <c r="V145"/>
      <c r="W145"/>
      <c r="X145"/>
    </row>
    <row r="146" spans="2:24" s="20" customFormat="1" x14ac:dyDescent="0.25">
      <c r="B146" s="6"/>
      <c r="I146" s="21"/>
      <c r="L146" s="21"/>
      <c r="M146" s="21"/>
      <c r="T146"/>
      <c r="U146"/>
      <c r="V146"/>
      <c r="W146"/>
      <c r="X146"/>
    </row>
    <row r="147" spans="2:24" s="20" customFormat="1" x14ac:dyDescent="0.25">
      <c r="B147" s="6"/>
      <c r="I147" s="21"/>
      <c r="L147" s="21"/>
      <c r="M147" s="21"/>
      <c r="T147"/>
      <c r="U147"/>
      <c r="V147"/>
      <c r="W147"/>
      <c r="X147"/>
    </row>
    <row r="148" spans="2:24" s="20" customFormat="1" x14ac:dyDescent="0.25">
      <c r="B148" s="6"/>
      <c r="I148" s="21"/>
      <c r="L148" s="21"/>
      <c r="M148" s="21"/>
      <c r="T148"/>
      <c r="U148"/>
      <c r="V148"/>
      <c r="W148"/>
      <c r="X148"/>
    </row>
    <row r="149" spans="2:24" s="20" customFormat="1" x14ac:dyDescent="0.25">
      <c r="B149" s="6"/>
      <c r="I149" s="21"/>
      <c r="L149" s="21"/>
      <c r="M149" s="21"/>
      <c r="T149"/>
      <c r="U149"/>
      <c r="V149"/>
      <c r="W149"/>
      <c r="X149"/>
    </row>
    <row r="150" spans="2:24" s="20" customFormat="1" x14ac:dyDescent="0.25">
      <c r="B150" s="6"/>
      <c r="I150" s="21"/>
      <c r="L150" s="21"/>
      <c r="M150" s="21"/>
      <c r="T150"/>
      <c r="U150"/>
      <c r="V150"/>
      <c r="W150"/>
      <c r="X150"/>
    </row>
    <row r="151" spans="2:24" s="20" customFormat="1" x14ac:dyDescent="0.25">
      <c r="B151" s="6"/>
      <c r="I151" s="21"/>
      <c r="L151" s="21"/>
      <c r="M151" s="21"/>
      <c r="T151"/>
      <c r="U151"/>
      <c r="V151"/>
      <c r="W151"/>
      <c r="X151"/>
    </row>
    <row r="152" spans="2:24" s="20" customFormat="1" x14ac:dyDescent="0.25">
      <c r="B152" s="6"/>
      <c r="I152" s="21"/>
      <c r="L152" s="21"/>
      <c r="M152" s="21"/>
      <c r="T152"/>
      <c r="U152"/>
      <c r="V152"/>
      <c r="W152"/>
      <c r="X152"/>
    </row>
    <row r="153" spans="2:24" s="20" customFormat="1" x14ac:dyDescent="0.25">
      <c r="B153" s="6"/>
      <c r="I153" s="21"/>
      <c r="L153" s="21"/>
      <c r="M153" s="21"/>
      <c r="T153"/>
      <c r="U153"/>
      <c r="V153"/>
      <c r="W153"/>
      <c r="X153"/>
    </row>
    <row r="154" spans="2:24" s="20" customFormat="1" x14ac:dyDescent="0.25">
      <c r="B154" s="6"/>
      <c r="I154" s="21"/>
      <c r="L154" s="21"/>
      <c r="M154" s="21"/>
      <c r="T154"/>
      <c r="U154"/>
      <c r="V154"/>
      <c r="W154"/>
      <c r="X154"/>
    </row>
    <row r="155" spans="2:24" s="20" customFormat="1" x14ac:dyDescent="0.25">
      <c r="B155" s="6"/>
      <c r="I155" s="21"/>
      <c r="L155" s="21"/>
      <c r="M155" s="21"/>
      <c r="T155"/>
      <c r="U155"/>
      <c r="V155"/>
      <c r="W155"/>
      <c r="X155"/>
    </row>
    <row r="156" spans="2:24" s="20" customFormat="1" x14ac:dyDescent="0.25">
      <c r="B156" s="6"/>
      <c r="I156" s="21"/>
      <c r="L156" s="21"/>
      <c r="M156" s="21"/>
      <c r="T156"/>
      <c r="U156"/>
      <c r="V156"/>
      <c r="W156"/>
      <c r="X156"/>
    </row>
    <row r="157" spans="2:24" s="20" customFormat="1" x14ac:dyDescent="0.25">
      <c r="B157" s="6"/>
      <c r="I157" s="21"/>
      <c r="L157" s="21"/>
      <c r="M157" s="21"/>
      <c r="T157"/>
      <c r="U157"/>
      <c r="V157"/>
      <c r="W157"/>
      <c r="X157"/>
    </row>
    <row r="158" spans="2:24" s="20" customFormat="1" x14ac:dyDescent="0.25">
      <c r="B158" s="6"/>
      <c r="I158" s="21"/>
      <c r="L158" s="21"/>
      <c r="M158" s="21"/>
      <c r="T158"/>
      <c r="U158"/>
      <c r="V158"/>
      <c r="W158"/>
      <c r="X158"/>
    </row>
    <row r="159" spans="2:24" s="20" customFormat="1" x14ac:dyDescent="0.25">
      <c r="B159" s="6"/>
      <c r="I159" s="21"/>
      <c r="L159" s="21"/>
      <c r="M159" s="21"/>
      <c r="T159"/>
      <c r="U159"/>
      <c r="V159"/>
      <c r="W159"/>
      <c r="X159"/>
    </row>
    <row r="160" spans="2:24" s="20" customFormat="1" x14ac:dyDescent="0.25">
      <c r="B160" s="6"/>
      <c r="I160" s="21"/>
      <c r="L160" s="21"/>
      <c r="M160" s="21"/>
      <c r="T160"/>
      <c r="U160"/>
      <c r="V160"/>
      <c r="W160"/>
      <c r="X160"/>
    </row>
    <row r="161" spans="2:24" s="20" customFormat="1" x14ac:dyDescent="0.25">
      <c r="B161" s="6"/>
      <c r="I161" s="21"/>
      <c r="L161" s="21"/>
      <c r="M161" s="21"/>
      <c r="T161"/>
      <c r="U161"/>
      <c r="V161"/>
      <c r="W161"/>
      <c r="X161"/>
    </row>
    <row r="162" spans="2:24" s="20" customFormat="1" x14ac:dyDescent="0.25">
      <c r="B162" s="6"/>
      <c r="I162" s="21"/>
      <c r="L162" s="21"/>
      <c r="M162" s="21"/>
      <c r="T162"/>
      <c r="U162"/>
      <c r="V162"/>
      <c r="W162"/>
      <c r="X162"/>
    </row>
    <row r="163" spans="2:24" s="20" customFormat="1" x14ac:dyDescent="0.25">
      <c r="B163" s="6"/>
      <c r="I163" s="21"/>
      <c r="L163" s="21"/>
      <c r="M163" s="21"/>
      <c r="T163"/>
      <c r="U163"/>
      <c r="V163"/>
      <c r="W163"/>
      <c r="X163"/>
    </row>
    <row r="164" spans="2:24" s="20" customFormat="1" x14ac:dyDescent="0.25">
      <c r="B164" s="6"/>
      <c r="I164" s="21"/>
      <c r="L164" s="21"/>
      <c r="M164" s="21"/>
      <c r="T164"/>
      <c r="U164"/>
      <c r="V164"/>
      <c r="W164"/>
      <c r="X164"/>
    </row>
    <row r="165" spans="2:24" s="20" customFormat="1" x14ac:dyDescent="0.25">
      <c r="B165" s="6"/>
      <c r="I165" s="21"/>
      <c r="L165" s="21"/>
      <c r="M165" s="21"/>
      <c r="T165"/>
      <c r="U165"/>
      <c r="V165"/>
      <c r="W165"/>
      <c r="X165"/>
    </row>
    <row r="166" spans="2:24" s="20" customFormat="1" x14ac:dyDescent="0.25">
      <c r="B166" s="6"/>
      <c r="I166" s="21"/>
      <c r="L166" s="21"/>
      <c r="M166" s="21"/>
      <c r="T166"/>
      <c r="U166"/>
      <c r="V166"/>
      <c r="W166"/>
      <c r="X166"/>
    </row>
    <row r="167" spans="2:24" s="20" customFormat="1" x14ac:dyDescent="0.25">
      <c r="B167" s="6"/>
      <c r="I167" s="21"/>
      <c r="L167" s="21"/>
      <c r="M167" s="21"/>
      <c r="T167"/>
      <c r="U167"/>
      <c r="V167"/>
      <c r="W167"/>
      <c r="X167"/>
    </row>
    <row r="168" spans="2:24" s="20" customFormat="1" x14ac:dyDescent="0.25">
      <c r="B168" s="6"/>
      <c r="I168" s="21"/>
      <c r="L168" s="21"/>
      <c r="M168" s="21"/>
      <c r="T168"/>
      <c r="U168"/>
      <c r="V168"/>
      <c r="W168"/>
      <c r="X168"/>
    </row>
    <row r="169" spans="2:24" s="20" customFormat="1" x14ac:dyDescent="0.25">
      <c r="B169" s="6"/>
      <c r="I169" s="21"/>
      <c r="L169" s="21"/>
      <c r="M169" s="21"/>
      <c r="T169"/>
      <c r="U169"/>
      <c r="V169"/>
      <c r="W169"/>
      <c r="X169"/>
    </row>
    <row r="170" spans="2:24" s="20" customFormat="1" x14ac:dyDescent="0.25">
      <c r="B170" s="6"/>
      <c r="I170" s="21"/>
      <c r="L170" s="21"/>
      <c r="M170" s="21"/>
      <c r="T170"/>
      <c r="U170"/>
      <c r="V170"/>
      <c r="W170"/>
      <c r="X170"/>
    </row>
    <row r="171" spans="2:24" s="20" customFormat="1" x14ac:dyDescent="0.25">
      <c r="B171" s="6"/>
      <c r="I171" s="21"/>
      <c r="L171" s="21"/>
      <c r="M171" s="21"/>
      <c r="T171"/>
      <c r="U171"/>
      <c r="V171"/>
      <c r="W171"/>
      <c r="X171"/>
    </row>
    <row r="172" spans="2:24" s="20" customFormat="1" x14ac:dyDescent="0.25">
      <c r="B172" s="6"/>
      <c r="I172" s="21"/>
      <c r="L172" s="21"/>
      <c r="M172" s="21"/>
      <c r="T172"/>
      <c r="U172"/>
      <c r="V172"/>
      <c r="W172"/>
      <c r="X172"/>
    </row>
    <row r="173" spans="2:24" s="20" customFormat="1" x14ac:dyDescent="0.25">
      <c r="B173" s="6"/>
      <c r="I173" s="21"/>
      <c r="L173" s="21"/>
      <c r="M173" s="21"/>
      <c r="T173"/>
      <c r="U173"/>
      <c r="V173"/>
      <c r="W173"/>
      <c r="X173"/>
    </row>
    <row r="174" spans="2:24" s="20" customFormat="1" x14ac:dyDescent="0.25">
      <c r="B174" s="6"/>
      <c r="I174" s="21"/>
      <c r="L174" s="21"/>
      <c r="M174" s="21"/>
      <c r="T174"/>
      <c r="U174"/>
      <c r="V174"/>
      <c r="W174"/>
      <c r="X174"/>
    </row>
    <row r="175" spans="2:24" s="20" customFormat="1" x14ac:dyDescent="0.25">
      <c r="B175" s="6"/>
      <c r="I175" s="21"/>
      <c r="L175" s="21"/>
      <c r="M175" s="21"/>
      <c r="T175"/>
      <c r="U175"/>
      <c r="V175"/>
      <c r="W175"/>
      <c r="X175"/>
    </row>
    <row r="176" spans="2:24" s="20" customFormat="1" x14ac:dyDescent="0.25">
      <c r="B176" s="6"/>
      <c r="I176" s="21"/>
      <c r="L176" s="21"/>
      <c r="M176" s="21"/>
      <c r="T176"/>
      <c r="U176"/>
      <c r="V176"/>
      <c r="W176"/>
      <c r="X176"/>
    </row>
    <row r="177" spans="2:24" s="20" customFormat="1" x14ac:dyDescent="0.25">
      <c r="B177" s="6"/>
      <c r="I177" s="21"/>
      <c r="L177" s="21"/>
      <c r="M177" s="21"/>
      <c r="T177"/>
      <c r="U177"/>
      <c r="V177"/>
      <c r="W177"/>
      <c r="X177"/>
    </row>
    <row r="178" spans="2:24" s="20" customFormat="1" x14ac:dyDescent="0.25">
      <c r="B178" s="6"/>
      <c r="I178" s="21"/>
      <c r="L178" s="21"/>
      <c r="M178" s="21"/>
      <c r="T178"/>
      <c r="U178"/>
      <c r="V178"/>
      <c r="W178"/>
      <c r="X178"/>
    </row>
    <row r="179" spans="2:24" s="20" customFormat="1" x14ac:dyDescent="0.25">
      <c r="B179" s="6"/>
      <c r="I179" s="21"/>
      <c r="L179" s="21"/>
      <c r="M179" s="21"/>
      <c r="T179"/>
      <c r="U179"/>
      <c r="V179"/>
      <c r="W179"/>
      <c r="X179"/>
    </row>
    <row r="180" spans="2:24" s="20" customFormat="1" x14ac:dyDescent="0.25">
      <c r="B180" s="6"/>
      <c r="I180" s="21"/>
      <c r="L180" s="21"/>
      <c r="M180" s="21"/>
      <c r="T180"/>
      <c r="U180"/>
      <c r="V180"/>
      <c r="W180"/>
      <c r="X180"/>
    </row>
    <row r="181" spans="2:24" s="20" customFormat="1" x14ac:dyDescent="0.25">
      <c r="B181" s="6"/>
      <c r="I181" s="21"/>
      <c r="L181" s="21"/>
      <c r="M181" s="21"/>
      <c r="T181"/>
      <c r="U181"/>
      <c r="V181"/>
      <c r="W181"/>
      <c r="X181"/>
    </row>
    <row r="182" spans="2:24" s="20" customFormat="1" x14ac:dyDescent="0.25">
      <c r="B182" s="6"/>
      <c r="I182" s="21"/>
      <c r="L182" s="21"/>
      <c r="M182" s="21"/>
      <c r="T182"/>
      <c r="U182"/>
      <c r="V182"/>
      <c r="W182"/>
      <c r="X182"/>
    </row>
    <row r="183" spans="2:24" s="20" customFormat="1" x14ac:dyDescent="0.25">
      <c r="B183" s="6"/>
      <c r="I183" s="21"/>
      <c r="L183" s="21"/>
      <c r="M183" s="21"/>
      <c r="T183"/>
      <c r="U183"/>
      <c r="V183"/>
      <c r="W183"/>
      <c r="X183"/>
    </row>
    <row r="184" spans="2:24" s="20" customFormat="1" x14ac:dyDescent="0.25">
      <c r="B184" s="6"/>
      <c r="I184" s="21"/>
      <c r="L184" s="21"/>
      <c r="M184" s="21"/>
      <c r="T184"/>
      <c r="U184"/>
      <c r="V184"/>
      <c r="W184"/>
      <c r="X184"/>
    </row>
    <row r="185" spans="2:24" s="20" customFormat="1" x14ac:dyDescent="0.25">
      <c r="B185" s="6"/>
      <c r="I185" s="21"/>
      <c r="L185" s="21"/>
      <c r="M185" s="21"/>
      <c r="T185"/>
      <c r="U185"/>
      <c r="V185"/>
      <c r="W185"/>
      <c r="X185"/>
    </row>
    <row r="186" spans="2:24" s="20" customFormat="1" x14ac:dyDescent="0.25">
      <c r="B186" s="6"/>
      <c r="I186" s="21"/>
      <c r="L186" s="21"/>
      <c r="M186" s="21"/>
      <c r="T186"/>
      <c r="U186"/>
      <c r="V186"/>
      <c r="W186"/>
      <c r="X186"/>
    </row>
    <row r="187" spans="2:24" s="20" customFormat="1" x14ac:dyDescent="0.25">
      <c r="B187" s="6"/>
      <c r="I187" s="21"/>
      <c r="L187" s="21"/>
      <c r="M187" s="21"/>
      <c r="T187"/>
      <c r="U187"/>
      <c r="V187"/>
      <c r="W187"/>
      <c r="X187"/>
    </row>
    <row r="188" spans="2:24" s="20" customFormat="1" x14ac:dyDescent="0.25">
      <c r="B188" s="6"/>
      <c r="I188" s="21"/>
      <c r="L188" s="21"/>
      <c r="M188" s="21"/>
      <c r="T188"/>
      <c r="U188"/>
      <c r="V188"/>
      <c r="W188"/>
      <c r="X188"/>
    </row>
    <row r="189" spans="2:24" s="20" customFormat="1" x14ac:dyDescent="0.25">
      <c r="B189" s="6"/>
      <c r="I189" s="21"/>
      <c r="L189" s="21"/>
      <c r="M189" s="21"/>
      <c r="T189"/>
      <c r="U189"/>
      <c r="V189"/>
      <c r="W189"/>
      <c r="X189"/>
    </row>
    <row r="190" spans="2:24" s="20" customFormat="1" x14ac:dyDescent="0.25">
      <c r="B190" s="6"/>
      <c r="I190" s="21"/>
      <c r="L190" s="21"/>
      <c r="M190" s="21"/>
      <c r="T190"/>
      <c r="U190"/>
      <c r="V190"/>
      <c r="W190"/>
      <c r="X190"/>
    </row>
    <row r="191" spans="2:24" s="20" customFormat="1" x14ac:dyDescent="0.25">
      <c r="B191" s="6"/>
      <c r="I191" s="21"/>
      <c r="L191" s="21"/>
      <c r="M191" s="21"/>
      <c r="T191"/>
      <c r="U191"/>
      <c r="V191"/>
      <c r="W191"/>
      <c r="X191"/>
    </row>
    <row r="192" spans="2:24" s="20" customFormat="1" x14ac:dyDescent="0.25">
      <c r="B192" s="6"/>
      <c r="I192" s="21"/>
      <c r="L192" s="21"/>
      <c r="M192" s="21"/>
      <c r="T192"/>
      <c r="U192"/>
      <c r="V192"/>
      <c r="W192"/>
      <c r="X192"/>
    </row>
    <row r="193" spans="2:24" s="20" customFormat="1" x14ac:dyDescent="0.25">
      <c r="B193" s="6"/>
      <c r="I193" s="21"/>
      <c r="L193" s="21"/>
      <c r="M193" s="21"/>
      <c r="T193"/>
      <c r="U193"/>
      <c r="V193"/>
      <c r="W193"/>
      <c r="X193"/>
    </row>
    <row r="194" spans="2:24" s="20" customFormat="1" x14ac:dyDescent="0.25">
      <c r="B194" s="6"/>
      <c r="I194" s="21"/>
      <c r="L194" s="21"/>
      <c r="M194" s="21"/>
      <c r="T194"/>
      <c r="U194"/>
      <c r="V194"/>
      <c r="W194"/>
      <c r="X194"/>
    </row>
    <row r="195" spans="2:24" s="20" customFormat="1" x14ac:dyDescent="0.25">
      <c r="B195" s="6"/>
      <c r="I195" s="21"/>
      <c r="L195" s="21"/>
      <c r="M195" s="21"/>
      <c r="T195"/>
      <c r="U195"/>
      <c r="V195"/>
      <c r="W195"/>
      <c r="X195"/>
    </row>
    <row r="196" spans="2:24" s="20" customFormat="1" x14ac:dyDescent="0.25">
      <c r="B196" s="6"/>
      <c r="I196" s="21"/>
      <c r="L196" s="21"/>
      <c r="M196" s="21"/>
      <c r="T196"/>
      <c r="U196"/>
      <c r="V196"/>
      <c r="W196"/>
      <c r="X196"/>
    </row>
    <row r="197" spans="2:24" s="20" customFormat="1" x14ac:dyDescent="0.25">
      <c r="B197" s="6"/>
      <c r="I197" s="21"/>
      <c r="L197" s="21"/>
      <c r="M197" s="21"/>
      <c r="T197"/>
      <c r="U197"/>
      <c r="V197"/>
      <c r="W197"/>
      <c r="X197"/>
    </row>
    <row r="198" spans="2:24" s="20" customFormat="1" x14ac:dyDescent="0.25">
      <c r="B198" s="6"/>
      <c r="I198" s="21"/>
      <c r="L198" s="21"/>
      <c r="M198" s="21"/>
      <c r="T198"/>
      <c r="U198"/>
      <c r="V198"/>
      <c r="W198"/>
      <c r="X198"/>
    </row>
    <row r="199" spans="2:24" s="20" customFormat="1" x14ac:dyDescent="0.25">
      <c r="B199" s="6"/>
      <c r="I199" s="21"/>
      <c r="L199" s="21"/>
      <c r="M199" s="21"/>
      <c r="T199"/>
      <c r="U199"/>
      <c r="V199"/>
      <c r="W199"/>
      <c r="X199"/>
    </row>
    <row r="200" spans="2:24" s="20" customFormat="1" x14ac:dyDescent="0.25">
      <c r="B200" s="6"/>
      <c r="I200" s="21"/>
      <c r="L200" s="21"/>
      <c r="M200" s="21"/>
      <c r="T200"/>
      <c r="U200"/>
      <c r="V200"/>
      <c r="W200"/>
      <c r="X200"/>
    </row>
    <row r="201" spans="2:24" s="20" customFormat="1" x14ac:dyDescent="0.25">
      <c r="B201" s="6"/>
      <c r="I201" s="21"/>
      <c r="L201" s="21"/>
      <c r="M201" s="21"/>
      <c r="T201"/>
      <c r="U201"/>
      <c r="V201"/>
      <c r="W201"/>
      <c r="X201"/>
    </row>
    <row r="202" spans="2:24" s="20" customFormat="1" x14ac:dyDescent="0.25">
      <c r="B202" s="6"/>
      <c r="I202" s="21"/>
      <c r="L202" s="21"/>
      <c r="M202" s="21"/>
      <c r="T202"/>
      <c r="U202"/>
      <c r="V202"/>
      <c r="W202"/>
      <c r="X202"/>
    </row>
    <row r="203" spans="2:24" s="20" customFormat="1" x14ac:dyDescent="0.25">
      <c r="B203" s="6"/>
      <c r="I203" s="21"/>
      <c r="L203" s="21"/>
      <c r="M203" s="21"/>
      <c r="T203"/>
      <c r="U203"/>
      <c r="V203"/>
      <c r="W203"/>
      <c r="X203"/>
    </row>
    <row r="204" spans="2:24" s="20" customFormat="1" x14ac:dyDescent="0.25">
      <c r="B204" s="6"/>
      <c r="I204" s="21"/>
      <c r="L204" s="21"/>
      <c r="M204" s="21"/>
      <c r="T204"/>
      <c r="U204"/>
      <c r="V204"/>
      <c r="W204"/>
      <c r="X204"/>
    </row>
    <row r="205" spans="2:24" s="20" customFormat="1" x14ac:dyDescent="0.25">
      <c r="B205" s="6"/>
      <c r="I205" s="21"/>
      <c r="L205" s="21"/>
      <c r="M205" s="21"/>
      <c r="T205"/>
      <c r="U205"/>
      <c r="V205"/>
      <c r="W205"/>
      <c r="X205"/>
    </row>
    <row r="206" spans="2:24" s="20" customFormat="1" x14ac:dyDescent="0.25">
      <c r="B206" s="6"/>
      <c r="L206" s="21"/>
      <c r="M206" s="21"/>
      <c r="T206"/>
      <c r="U206"/>
      <c r="V206"/>
      <c r="W206"/>
      <c r="X206"/>
    </row>
    <row r="207" spans="2:24" s="20" customFormat="1" x14ac:dyDescent="0.25">
      <c r="B207" s="6"/>
      <c r="L207" s="21"/>
      <c r="M207" s="21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7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7"/>
  <sheetViews>
    <sheetView workbookViewId="0">
      <pane xSplit="1" ySplit="11" topLeftCell="B12" activePane="bottomRight" state="frozen"/>
      <selection activeCell="B33" sqref="B33"/>
      <selection pane="topRight" activeCell="B33" sqref="B33"/>
      <selection pane="bottomLeft" activeCell="B33" sqref="B33"/>
      <selection pane="bottomRight" activeCell="A27" sqref="A27:E30"/>
    </sheetView>
  </sheetViews>
  <sheetFormatPr defaultRowHeight="15" x14ac:dyDescent="0.25"/>
  <cols>
    <col min="1" max="1" width="11.85546875" style="6" customWidth="1"/>
    <col min="2" max="2" width="15.7109375" style="20" customWidth="1"/>
    <col min="3" max="3" width="6" style="20" customWidth="1"/>
    <col min="4" max="4" width="15.7109375" style="20" customWidth="1"/>
    <col min="5" max="5" width="6.140625" style="20" customWidth="1"/>
    <col min="6" max="6" width="2.5703125" style="20" customWidth="1"/>
    <col min="7" max="7" width="7.7109375" style="20" customWidth="1"/>
    <col min="8" max="8" width="12.85546875" style="20" customWidth="1"/>
    <col min="9" max="9" width="11.5703125" style="20" customWidth="1"/>
    <col min="10" max="10" width="11.85546875" style="20" customWidth="1"/>
    <col min="11" max="11" width="2" style="21" customWidth="1"/>
    <col min="12" max="12" width="8.28515625" style="21" customWidth="1"/>
    <col min="13" max="13" width="11" style="20" customWidth="1"/>
    <col min="14" max="14" width="1.85546875" style="20" customWidth="1"/>
    <col min="15" max="15" width="11.85546875" style="20" bestFit="1" customWidth="1"/>
    <col min="16" max="16" width="11.5703125" style="20" customWidth="1"/>
    <col min="17" max="17" width="1.85546875" style="20" customWidth="1"/>
    <col min="18" max="18" width="12.85546875" style="20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4"/>
      <c r="T3" s="4"/>
      <c r="U3" s="4"/>
      <c r="V3" s="4"/>
      <c r="W3" s="4"/>
    </row>
    <row r="4" spans="1:23" s="3" customFormat="1" ht="18" x14ac:dyDescent="0.25">
      <c r="A4" s="28"/>
      <c r="B4" s="28"/>
      <c r="C4" s="28"/>
      <c r="D4" s="28"/>
      <c r="E4" s="2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4" t="s">
        <v>7</v>
      </c>
      <c r="B8" s="34"/>
      <c r="C8" s="34"/>
      <c r="D8" s="34"/>
      <c r="E8" s="34"/>
    </row>
    <row r="9" spans="1:23" s="13" customFormat="1" ht="12" customHeight="1" x14ac:dyDescent="0.2">
      <c r="A9" s="30"/>
      <c r="B9" s="30"/>
      <c r="C9" s="30"/>
      <c r="D9" s="30"/>
      <c r="E9" s="30"/>
    </row>
    <row r="10" spans="1:23" s="13" customFormat="1" ht="12" customHeight="1" x14ac:dyDescent="0.2">
      <c r="A10" s="11"/>
      <c r="B10" s="15" t="s">
        <v>6</v>
      </c>
      <c r="C10" s="15"/>
      <c r="D10" s="15" t="s">
        <v>6</v>
      </c>
      <c r="E10" s="15"/>
      <c r="F10" s="12"/>
    </row>
    <row r="11" spans="1:23" s="13" customFormat="1" ht="12" customHeight="1" x14ac:dyDescent="0.2">
      <c r="A11" s="11"/>
      <c r="B11" s="15" t="s">
        <v>0</v>
      </c>
      <c r="C11" s="15"/>
      <c r="D11" s="15" t="s">
        <v>0</v>
      </c>
      <c r="E11" s="15"/>
      <c r="F11" s="12"/>
    </row>
    <row r="12" spans="1:23" s="16" customFormat="1" ht="12" customHeight="1" x14ac:dyDescent="0.2">
      <c r="A12" s="17" t="s">
        <v>2</v>
      </c>
      <c r="B12" s="18" t="s">
        <v>4</v>
      </c>
      <c r="C12" s="18"/>
      <c r="D12" s="18" t="s">
        <v>3</v>
      </c>
      <c r="E12" s="18"/>
      <c r="F12" s="14"/>
    </row>
    <row r="13" spans="1:23" x14ac:dyDescent="0.25">
      <c r="A13" s="19">
        <v>44570</v>
      </c>
      <c r="B13" s="20">
        <v>67420615.079999998</v>
      </c>
      <c r="D13" s="20">
        <v>8582934.1600000001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19">
        <f t="shared" ref="A14:A24" si="0">A13+7</f>
        <v>44577</v>
      </c>
      <c r="B14" s="20">
        <v>190230584.34</v>
      </c>
      <c r="D14" s="20">
        <v>14131804.76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19">
        <f t="shared" si="0"/>
        <v>44584</v>
      </c>
      <c r="B15" s="20">
        <v>229709717.81999999</v>
      </c>
      <c r="D15" s="20">
        <v>19036116.5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19">
        <f t="shared" si="0"/>
        <v>44591</v>
      </c>
      <c r="B16" s="20">
        <v>128143427.19340003</v>
      </c>
      <c r="D16" s="20">
        <v>14136472.45340004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19">
        <f t="shared" si="0"/>
        <v>44598</v>
      </c>
      <c r="B17" s="20">
        <v>87152546.760000005</v>
      </c>
      <c r="D17" s="20">
        <v>8770609.9299999978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19">
        <f t="shared" si="0"/>
        <v>44605</v>
      </c>
      <c r="B18" s="20">
        <v>107211595.75</v>
      </c>
      <c r="D18" s="20">
        <v>5821284.1700000102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19">
        <f t="shared" si="0"/>
        <v>44612</v>
      </c>
      <c r="B19" s="20">
        <v>65811646.07</v>
      </c>
      <c r="D19" s="20">
        <v>4228910.620000001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19">
        <f t="shared" si="0"/>
        <v>44619</v>
      </c>
      <c r="B20" s="20">
        <v>68267343.698000014</v>
      </c>
      <c r="D20" s="20">
        <v>4031201.3980000047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19">
        <f t="shared" si="0"/>
        <v>44626</v>
      </c>
      <c r="B21" s="20">
        <v>64828925.652500004</v>
      </c>
      <c r="D21" s="20">
        <v>5413752.0724999979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19">
        <f t="shared" si="0"/>
        <v>44633</v>
      </c>
      <c r="B22" s="20">
        <v>66859246.860000007</v>
      </c>
      <c r="D22" s="20">
        <v>7615132.2700000023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19">
        <f t="shared" si="0"/>
        <v>44640</v>
      </c>
      <c r="B23" s="20">
        <v>67758590.349999994</v>
      </c>
      <c r="D23" s="20">
        <v>4352538.2699999968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19">
        <f t="shared" si="0"/>
        <v>44647</v>
      </c>
      <c r="B24" s="20">
        <v>56915566.434000604</v>
      </c>
      <c r="D24" s="20">
        <v>2277521.6540005999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2">
        <f>SUM(B13:B24)</f>
        <v>1200309806.0079005</v>
      </c>
      <c r="D25" s="22">
        <f>SUM(D13:D24)</f>
        <v>98398278.25790064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A26" s="24" t="s">
        <v>5</v>
      </c>
      <c r="B26" s="23"/>
      <c r="C26" s="23"/>
      <c r="D26" s="23"/>
      <c r="E26" s="23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53.25" customHeight="1" x14ac:dyDescent="0.25">
      <c r="A27" s="35" t="s">
        <v>9</v>
      </c>
      <c r="B27" s="35"/>
      <c r="C27" s="35"/>
      <c r="D27" s="35"/>
      <c r="E27" s="35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26.25" customHeight="1" x14ac:dyDescent="0.25">
      <c r="A28" s="35" t="s">
        <v>11</v>
      </c>
      <c r="B28" s="35"/>
      <c r="C28" s="35"/>
      <c r="D28" s="35"/>
      <c r="E28" s="35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41" t="s">
        <v>12</v>
      </c>
      <c r="B29" s="41"/>
      <c r="C29" s="41"/>
      <c r="D29" s="41"/>
      <c r="E29" s="41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42" customHeight="1" x14ac:dyDescent="0.25">
      <c r="A30" s="37" t="s">
        <v>10</v>
      </c>
      <c r="B30" s="37"/>
      <c r="C30" s="37"/>
      <c r="D30" s="37"/>
      <c r="E30" s="37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x14ac:dyDescent="0.25">
      <c r="E31" s="2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1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1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1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1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1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1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1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1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1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1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1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1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1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1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 s="23"/>
      <c r="G61" s="21"/>
      <c r="K61"/>
      <c r="L61"/>
      <c r="M61"/>
      <c r="N61"/>
      <c r="O61"/>
      <c r="P61"/>
      <c r="Q61"/>
      <c r="R61"/>
    </row>
    <row r="62" spans="1:18" x14ac:dyDescent="0.25">
      <c r="F62" s="23"/>
      <c r="G62" s="21"/>
      <c r="K62"/>
      <c r="L62"/>
      <c r="M62"/>
      <c r="N62"/>
      <c r="O62"/>
      <c r="P62"/>
      <c r="Q62"/>
      <c r="R62"/>
    </row>
    <row r="63" spans="1:18" s="23" customFormat="1" x14ac:dyDescent="0.25">
      <c r="A63" s="6"/>
      <c r="B63" s="20"/>
      <c r="C63" s="20"/>
      <c r="D63" s="20"/>
      <c r="E63" s="20"/>
      <c r="F63" s="20"/>
      <c r="G63" s="20"/>
      <c r="H63" s="21"/>
      <c r="I63" s="20"/>
      <c r="J63" s="20"/>
      <c r="L63" s="21"/>
      <c r="M63" s="20"/>
      <c r="N63" s="20"/>
      <c r="O63" s="20"/>
      <c r="P63" s="20"/>
      <c r="Q63" s="20"/>
      <c r="R63" s="20"/>
    </row>
    <row r="64" spans="1:18" s="23" customFormat="1" x14ac:dyDescent="0.25">
      <c r="A64" s="6"/>
      <c r="B64" s="20"/>
      <c r="C64" s="20"/>
      <c r="D64" s="20"/>
      <c r="E64" s="20"/>
      <c r="F64" s="25"/>
      <c r="G64" s="25"/>
      <c r="H64" s="26"/>
      <c r="I64" s="25"/>
      <c r="J64" s="25"/>
      <c r="L64" s="21"/>
      <c r="M64" s="20"/>
      <c r="N64" s="20"/>
      <c r="O64" s="20"/>
      <c r="P64" s="20"/>
      <c r="Q64" s="20"/>
      <c r="R64" s="20"/>
    </row>
    <row r="65" spans="1:23" x14ac:dyDescent="0.25">
      <c r="G65" s="21"/>
      <c r="K65" s="20"/>
      <c r="L65" s="20"/>
      <c r="S65" s="20"/>
      <c r="T65" s="20"/>
    </row>
    <row r="66" spans="1:23" x14ac:dyDescent="0.25">
      <c r="G66" s="21"/>
      <c r="K66" s="25"/>
      <c r="L66" s="25"/>
      <c r="M66" s="25"/>
      <c r="N66" s="25"/>
      <c r="O66" s="25"/>
      <c r="P66" s="25"/>
      <c r="Q66" s="25"/>
      <c r="S66" s="20"/>
      <c r="T66" s="20"/>
    </row>
    <row r="67" spans="1:23" x14ac:dyDescent="0.25">
      <c r="G67" s="21"/>
    </row>
    <row r="68" spans="1:23" x14ac:dyDescent="0.25">
      <c r="G68" s="21"/>
    </row>
    <row r="69" spans="1:23" x14ac:dyDescent="0.25">
      <c r="G69" s="21"/>
    </row>
    <row r="70" spans="1:23" x14ac:dyDescent="0.25">
      <c r="G70" s="21"/>
    </row>
    <row r="71" spans="1:23" x14ac:dyDescent="0.25">
      <c r="G71" s="21"/>
    </row>
    <row r="72" spans="1:23" x14ac:dyDescent="0.25">
      <c r="G72" s="21"/>
    </row>
    <row r="73" spans="1:23" x14ac:dyDescent="0.25">
      <c r="G73" s="21"/>
    </row>
    <row r="74" spans="1:23" x14ac:dyDescent="0.25">
      <c r="G74" s="21"/>
    </row>
    <row r="75" spans="1:23" x14ac:dyDescent="0.25">
      <c r="G75" s="21"/>
    </row>
    <row r="76" spans="1:23" x14ac:dyDescent="0.25">
      <c r="G76" s="21"/>
    </row>
    <row r="77" spans="1:23" s="20" customFormat="1" x14ac:dyDescent="0.25">
      <c r="A77" s="6"/>
      <c r="G77" s="21"/>
      <c r="K77" s="21"/>
      <c r="L77" s="21"/>
      <c r="S77"/>
      <c r="T77"/>
      <c r="U77"/>
      <c r="V77"/>
      <c r="W77"/>
    </row>
    <row r="78" spans="1:23" s="20" customFormat="1" x14ac:dyDescent="0.25">
      <c r="A78" s="6"/>
      <c r="G78" s="21"/>
      <c r="K78" s="21"/>
      <c r="L78" s="21"/>
      <c r="S78"/>
      <c r="T78"/>
      <c r="U78"/>
      <c r="V78"/>
      <c r="W78"/>
    </row>
    <row r="79" spans="1:23" s="20" customFormat="1" x14ac:dyDescent="0.25">
      <c r="A79" s="6"/>
      <c r="G79" s="21"/>
      <c r="K79" s="21"/>
      <c r="L79" s="21"/>
      <c r="S79"/>
      <c r="T79"/>
      <c r="U79"/>
      <c r="V79"/>
      <c r="W79"/>
    </row>
    <row r="80" spans="1:23" s="20" customFormat="1" x14ac:dyDescent="0.25">
      <c r="A80" s="6"/>
      <c r="G80" s="21"/>
      <c r="K80" s="21"/>
      <c r="L80" s="21"/>
      <c r="S80"/>
      <c r="T80"/>
      <c r="U80"/>
      <c r="V80"/>
      <c r="W80"/>
    </row>
    <row r="81" spans="1:23" s="20" customFormat="1" x14ac:dyDescent="0.25">
      <c r="A81" s="6"/>
      <c r="G81" s="21"/>
      <c r="K81" s="21"/>
      <c r="L81" s="21"/>
      <c r="S81"/>
      <c r="T81"/>
      <c r="U81"/>
      <c r="V81"/>
      <c r="W81"/>
    </row>
    <row r="82" spans="1:23" s="20" customFormat="1" x14ac:dyDescent="0.25">
      <c r="A82" s="6"/>
      <c r="G82" s="21"/>
      <c r="K82" s="21"/>
      <c r="L82" s="21"/>
      <c r="S82"/>
      <c r="T82"/>
      <c r="U82"/>
      <c r="V82"/>
      <c r="W82"/>
    </row>
    <row r="83" spans="1:23" s="20" customFormat="1" x14ac:dyDescent="0.25">
      <c r="A83" s="6"/>
      <c r="G83" s="21"/>
      <c r="K83" s="21"/>
      <c r="L83" s="21"/>
      <c r="S83"/>
      <c r="T83"/>
      <c r="U83"/>
      <c r="V83"/>
      <c r="W83"/>
    </row>
    <row r="84" spans="1:23" s="20" customFormat="1" x14ac:dyDescent="0.25">
      <c r="A84" s="6"/>
      <c r="G84" s="21"/>
      <c r="K84" s="21"/>
      <c r="L84" s="21"/>
      <c r="S84"/>
      <c r="T84"/>
      <c r="U84"/>
      <c r="V84"/>
      <c r="W84"/>
    </row>
    <row r="85" spans="1:23" s="20" customFormat="1" x14ac:dyDescent="0.25">
      <c r="A85" s="6"/>
      <c r="G85" s="21"/>
      <c r="K85" s="21"/>
      <c r="L85" s="21"/>
      <c r="S85"/>
      <c r="T85"/>
      <c r="U85"/>
      <c r="V85"/>
      <c r="W85"/>
    </row>
    <row r="86" spans="1:23" s="20" customFormat="1" x14ac:dyDescent="0.25">
      <c r="A86" s="6"/>
      <c r="G86" s="21"/>
      <c r="K86" s="21"/>
      <c r="L86" s="21"/>
      <c r="S86"/>
      <c r="T86"/>
      <c r="U86"/>
      <c r="V86"/>
      <c r="W86"/>
    </row>
    <row r="87" spans="1:23" s="20" customFormat="1" x14ac:dyDescent="0.25">
      <c r="A87" s="6"/>
      <c r="G87" s="21"/>
      <c r="K87" s="21"/>
      <c r="L87" s="21"/>
      <c r="S87"/>
      <c r="T87"/>
      <c r="U87"/>
      <c r="V87"/>
      <c r="W87"/>
    </row>
    <row r="88" spans="1:23" s="20" customFormat="1" x14ac:dyDescent="0.25">
      <c r="A88" s="6"/>
      <c r="G88" s="21"/>
      <c r="K88" s="21"/>
      <c r="L88" s="21"/>
      <c r="S88"/>
      <c r="T88"/>
      <c r="U88"/>
      <c r="V88"/>
      <c r="W88"/>
    </row>
    <row r="89" spans="1:23" s="20" customFormat="1" x14ac:dyDescent="0.25">
      <c r="A89" s="6"/>
      <c r="G89" s="21"/>
      <c r="K89" s="21"/>
      <c r="L89" s="21"/>
      <c r="S89"/>
      <c r="T89"/>
      <c r="U89"/>
      <c r="V89"/>
      <c r="W89"/>
    </row>
    <row r="90" spans="1:23" s="20" customFormat="1" x14ac:dyDescent="0.25">
      <c r="A90" s="6"/>
      <c r="G90" s="21"/>
      <c r="K90" s="21"/>
      <c r="L90" s="21"/>
      <c r="S90"/>
      <c r="T90"/>
      <c r="U90"/>
      <c r="V90"/>
      <c r="W90"/>
    </row>
    <row r="91" spans="1:23" s="20" customFormat="1" x14ac:dyDescent="0.25">
      <c r="A91" s="6"/>
      <c r="G91" s="21"/>
      <c r="K91" s="21"/>
      <c r="L91" s="21"/>
      <c r="S91"/>
      <c r="T91"/>
      <c r="U91"/>
      <c r="V91"/>
      <c r="W91"/>
    </row>
    <row r="92" spans="1:23" s="20" customFormat="1" x14ac:dyDescent="0.25">
      <c r="A92" s="6"/>
      <c r="G92" s="21"/>
      <c r="K92" s="21"/>
      <c r="L92" s="21"/>
      <c r="S92"/>
      <c r="T92"/>
      <c r="U92"/>
      <c r="V92"/>
      <c r="W92"/>
    </row>
    <row r="93" spans="1:23" s="20" customFormat="1" x14ac:dyDescent="0.25">
      <c r="A93" s="6"/>
      <c r="G93" s="21"/>
      <c r="K93" s="21"/>
      <c r="L93" s="21"/>
      <c r="S93"/>
      <c r="T93"/>
      <c r="U93"/>
      <c r="V93"/>
      <c r="W93"/>
    </row>
    <row r="94" spans="1:23" s="20" customFormat="1" x14ac:dyDescent="0.25">
      <c r="A94" s="6"/>
      <c r="G94" s="21"/>
      <c r="K94" s="21"/>
      <c r="L94" s="21"/>
      <c r="S94"/>
      <c r="T94"/>
      <c r="U94"/>
      <c r="V94"/>
      <c r="W94"/>
    </row>
    <row r="95" spans="1:23" s="20" customFormat="1" x14ac:dyDescent="0.25">
      <c r="A95" s="6"/>
      <c r="G95" s="21"/>
      <c r="K95" s="21"/>
      <c r="L95" s="21"/>
      <c r="S95"/>
      <c r="T95"/>
      <c r="U95"/>
      <c r="V95"/>
      <c r="W95"/>
    </row>
    <row r="96" spans="1:23" s="20" customFormat="1" x14ac:dyDescent="0.25">
      <c r="A96" s="6"/>
      <c r="G96" s="21"/>
      <c r="K96" s="21"/>
      <c r="L96" s="21"/>
      <c r="S96"/>
      <c r="T96"/>
      <c r="U96"/>
      <c r="V96"/>
      <c r="W96"/>
    </row>
    <row r="97" spans="1:23" s="20" customFormat="1" x14ac:dyDescent="0.25">
      <c r="A97" s="6"/>
      <c r="G97" s="21"/>
      <c r="K97" s="21"/>
      <c r="L97" s="21"/>
      <c r="S97"/>
      <c r="T97"/>
      <c r="U97"/>
      <c r="V97"/>
      <c r="W97"/>
    </row>
    <row r="98" spans="1:23" s="20" customFormat="1" x14ac:dyDescent="0.25">
      <c r="A98" s="6"/>
      <c r="G98" s="21"/>
      <c r="K98" s="21"/>
      <c r="L98" s="21"/>
      <c r="S98"/>
      <c r="T98"/>
      <c r="U98"/>
      <c r="V98"/>
      <c r="W98"/>
    </row>
    <row r="99" spans="1:23" s="20" customFormat="1" x14ac:dyDescent="0.25">
      <c r="A99" s="6"/>
      <c r="G99" s="21"/>
      <c r="K99" s="21"/>
      <c r="L99" s="21"/>
      <c r="S99"/>
      <c r="T99"/>
      <c r="U99"/>
      <c r="V99"/>
      <c r="W99"/>
    </row>
    <row r="100" spans="1:23" s="20" customFormat="1" x14ac:dyDescent="0.25">
      <c r="A100" s="6"/>
      <c r="G100" s="21"/>
      <c r="K100" s="21"/>
      <c r="L100" s="21"/>
      <c r="S100"/>
      <c r="T100"/>
      <c r="U100"/>
      <c r="V100"/>
      <c r="W100"/>
    </row>
    <row r="101" spans="1:23" s="20" customFormat="1" x14ac:dyDescent="0.25">
      <c r="A101" s="6"/>
      <c r="G101" s="21"/>
      <c r="K101" s="21"/>
      <c r="L101" s="21"/>
      <c r="S101"/>
      <c r="T101"/>
      <c r="U101"/>
      <c r="V101"/>
      <c r="W101"/>
    </row>
    <row r="102" spans="1:23" s="20" customFormat="1" x14ac:dyDescent="0.25">
      <c r="A102" s="6"/>
      <c r="G102" s="21"/>
      <c r="K102" s="21"/>
      <c r="L102" s="21"/>
      <c r="S102"/>
      <c r="T102"/>
      <c r="U102"/>
      <c r="V102"/>
      <c r="W102"/>
    </row>
    <row r="103" spans="1:23" s="20" customFormat="1" x14ac:dyDescent="0.25">
      <c r="A103" s="6"/>
      <c r="G103" s="21"/>
      <c r="K103" s="21"/>
      <c r="L103" s="21"/>
      <c r="S103"/>
      <c r="T103"/>
      <c r="U103"/>
      <c r="V103"/>
      <c r="W103"/>
    </row>
    <row r="104" spans="1:23" s="20" customFormat="1" x14ac:dyDescent="0.25">
      <c r="A104" s="6"/>
      <c r="G104" s="21"/>
      <c r="K104" s="21"/>
      <c r="L104" s="21"/>
      <c r="S104"/>
      <c r="T104"/>
      <c r="U104"/>
      <c r="V104"/>
      <c r="W104"/>
    </row>
    <row r="105" spans="1:23" s="20" customFormat="1" x14ac:dyDescent="0.25">
      <c r="A105" s="6"/>
      <c r="G105" s="21"/>
      <c r="K105" s="21"/>
      <c r="L105" s="21"/>
      <c r="S105"/>
      <c r="T105"/>
      <c r="U105"/>
      <c r="V105"/>
      <c r="W105"/>
    </row>
    <row r="106" spans="1:23" s="20" customFormat="1" x14ac:dyDescent="0.25">
      <c r="A106" s="6"/>
      <c r="G106" s="21"/>
      <c r="K106" s="21"/>
      <c r="L106" s="21"/>
      <c r="S106"/>
      <c r="T106"/>
      <c r="U106"/>
      <c r="V106"/>
      <c r="W106"/>
    </row>
    <row r="107" spans="1:23" s="20" customFormat="1" x14ac:dyDescent="0.25">
      <c r="A107" s="6"/>
      <c r="G107" s="21"/>
      <c r="K107" s="21"/>
      <c r="L107" s="21"/>
      <c r="S107"/>
      <c r="T107"/>
      <c r="U107"/>
      <c r="V107"/>
      <c r="W107"/>
    </row>
    <row r="108" spans="1:23" s="20" customFormat="1" x14ac:dyDescent="0.25">
      <c r="A108" s="6"/>
      <c r="G108" s="21"/>
      <c r="K108" s="21"/>
      <c r="L108" s="21"/>
      <c r="S108"/>
      <c r="T108"/>
      <c r="U108"/>
      <c r="V108"/>
      <c r="W108"/>
    </row>
    <row r="109" spans="1:23" s="20" customFormat="1" x14ac:dyDescent="0.25">
      <c r="A109" s="6"/>
      <c r="G109" s="21"/>
      <c r="K109" s="21"/>
      <c r="L109" s="21"/>
      <c r="S109"/>
      <c r="T109"/>
      <c r="U109"/>
      <c r="V109"/>
      <c r="W109"/>
    </row>
    <row r="110" spans="1:23" s="20" customFormat="1" x14ac:dyDescent="0.25">
      <c r="A110" s="6"/>
      <c r="G110" s="21"/>
      <c r="K110" s="21"/>
      <c r="L110" s="21"/>
      <c r="S110"/>
      <c r="T110"/>
      <c r="U110"/>
      <c r="V110"/>
      <c r="W110"/>
    </row>
    <row r="111" spans="1:23" s="20" customFormat="1" x14ac:dyDescent="0.25">
      <c r="A111" s="6"/>
      <c r="G111" s="21"/>
      <c r="K111" s="21"/>
      <c r="L111" s="21"/>
      <c r="S111"/>
      <c r="T111"/>
      <c r="U111"/>
      <c r="V111"/>
      <c r="W111"/>
    </row>
    <row r="112" spans="1:23" s="20" customFormat="1" x14ac:dyDescent="0.25">
      <c r="A112" s="6"/>
      <c r="G112" s="21"/>
      <c r="K112" s="21"/>
      <c r="L112" s="21"/>
      <c r="S112"/>
      <c r="T112"/>
      <c r="U112"/>
      <c r="V112"/>
      <c r="W112"/>
    </row>
    <row r="113" spans="1:23" s="20" customFormat="1" x14ac:dyDescent="0.25">
      <c r="A113" s="6"/>
      <c r="G113" s="21"/>
      <c r="K113" s="21"/>
      <c r="L113" s="21"/>
      <c r="S113"/>
      <c r="T113"/>
      <c r="U113"/>
      <c r="V113"/>
      <c r="W113"/>
    </row>
    <row r="114" spans="1:23" s="20" customFormat="1" x14ac:dyDescent="0.25">
      <c r="A114" s="6"/>
      <c r="G114" s="21"/>
      <c r="K114" s="21"/>
      <c r="L114" s="21"/>
      <c r="S114"/>
      <c r="T114"/>
      <c r="U114"/>
      <c r="V114"/>
      <c r="W114"/>
    </row>
    <row r="115" spans="1:23" s="20" customFormat="1" x14ac:dyDescent="0.25">
      <c r="A115" s="6"/>
      <c r="G115" s="21"/>
      <c r="K115" s="21"/>
      <c r="L115" s="21"/>
      <c r="S115"/>
      <c r="T115"/>
      <c r="U115"/>
      <c r="V115"/>
      <c r="W115"/>
    </row>
    <row r="116" spans="1:23" s="20" customFormat="1" x14ac:dyDescent="0.25">
      <c r="A116" s="6"/>
      <c r="G116" s="21"/>
      <c r="K116" s="21"/>
      <c r="L116" s="21"/>
      <c r="S116"/>
      <c r="T116"/>
      <c r="U116"/>
      <c r="V116"/>
      <c r="W116"/>
    </row>
    <row r="117" spans="1:23" s="20" customFormat="1" x14ac:dyDescent="0.25">
      <c r="A117" s="6"/>
      <c r="G117" s="21"/>
      <c r="K117" s="21"/>
      <c r="L117" s="21"/>
      <c r="S117"/>
      <c r="T117"/>
      <c r="U117"/>
      <c r="V117"/>
      <c r="W117"/>
    </row>
    <row r="118" spans="1:23" s="20" customFormat="1" x14ac:dyDescent="0.25">
      <c r="A118" s="6"/>
      <c r="G118" s="21"/>
      <c r="K118" s="21"/>
      <c r="L118" s="21"/>
      <c r="S118"/>
      <c r="T118"/>
      <c r="U118"/>
      <c r="V118"/>
      <c r="W118"/>
    </row>
    <row r="119" spans="1:23" s="20" customFormat="1" x14ac:dyDescent="0.25">
      <c r="A119" s="6"/>
      <c r="G119" s="21"/>
      <c r="K119" s="21"/>
      <c r="L119" s="21"/>
      <c r="S119"/>
      <c r="T119"/>
      <c r="U119"/>
      <c r="V119"/>
      <c r="W119"/>
    </row>
    <row r="120" spans="1:23" s="20" customFormat="1" x14ac:dyDescent="0.25">
      <c r="A120" s="6"/>
      <c r="G120" s="21"/>
      <c r="K120" s="21"/>
      <c r="L120" s="21"/>
      <c r="S120"/>
      <c r="T120"/>
      <c r="U120"/>
      <c r="V120"/>
      <c r="W120"/>
    </row>
    <row r="121" spans="1:23" s="20" customFormat="1" x14ac:dyDescent="0.25">
      <c r="A121" s="6"/>
      <c r="G121" s="21"/>
      <c r="K121" s="21"/>
      <c r="L121" s="21"/>
      <c r="S121"/>
      <c r="T121"/>
      <c r="U121"/>
      <c r="V121"/>
      <c r="W121"/>
    </row>
    <row r="122" spans="1:23" s="20" customFormat="1" x14ac:dyDescent="0.25">
      <c r="A122" s="6"/>
      <c r="G122" s="21"/>
      <c r="K122" s="21"/>
      <c r="L122" s="21"/>
      <c r="S122"/>
      <c r="T122"/>
      <c r="U122"/>
      <c r="V122"/>
      <c r="W122"/>
    </row>
    <row r="123" spans="1:23" s="20" customFormat="1" x14ac:dyDescent="0.25">
      <c r="A123" s="6"/>
      <c r="G123" s="21"/>
      <c r="K123" s="21"/>
      <c r="L123" s="21"/>
      <c r="S123"/>
      <c r="T123"/>
      <c r="U123"/>
      <c r="V123"/>
      <c r="W123"/>
    </row>
    <row r="124" spans="1:23" s="20" customFormat="1" x14ac:dyDescent="0.25">
      <c r="A124" s="6"/>
      <c r="G124" s="21"/>
      <c r="K124" s="21"/>
      <c r="L124" s="21"/>
      <c r="S124"/>
      <c r="T124"/>
      <c r="U124"/>
      <c r="V124"/>
      <c r="W124"/>
    </row>
    <row r="125" spans="1:23" s="20" customFormat="1" x14ac:dyDescent="0.25">
      <c r="A125" s="6"/>
      <c r="G125" s="21"/>
      <c r="K125" s="21"/>
      <c r="L125" s="21"/>
      <c r="S125"/>
      <c r="T125"/>
      <c r="U125"/>
      <c r="V125"/>
      <c r="W125"/>
    </row>
    <row r="126" spans="1:23" s="20" customFormat="1" x14ac:dyDescent="0.25">
      <c r="A126" s="6"/>
      <c r="G126" s="21"/>
      <c r="K126" s="21"/>
      <c r="L126" s="21"/>
      <c r="S126"/>
      <c r="T126"/>
      <c r="U126"/>
      <c r="V126"/>
      <c r="W126"/>
    </row>
    <row r="127" spans="1:23" s="20" customFormat="1" x14ac:dyDescent="0.25">
      <c r="A127" s="6"/>
      <c r="G127" s="21"/>
      <c r="K127" s="21"/>
      <c r="L127" s="21"/>
      <c r="S127"/>
      <c r="T127"/>
      <c r="U127"/>
      <c r="V127"/>
      <c r="W127"/>
    </row>
    <row r="128" spans="1:23" s="20" customFormat="1" x14ac:dyDescent="0.25">
      <c r="A128" s="6"/>
      <c r="G128" s="21"/>
      <c r="K128" s="21"/>
      <c r="L128" s="21"/>
      <c r="S128"/>
      <c r="T128"/>
      <c r="U128"/>
      <c r="V128"/>
      <c r="W128"/>
    </row>
    <row r="129" spans="1:23" s="20" customFormat="1" x14ac:dyDescent="0.25">
      <c r="A129" s="6"/>
      <c r="G129" s="21"/>
      <c r="K129" s="21"/>
      <c r="L129" s="21"/>
      <c r="S129"/>
      <c r="T129"/>
      <c r="U129"/>
      <c r="V129"/>
      <c r="W129"/>
    </row>
    <row r="130" spans="1:23" s="20" customFormat="1" x14ac:dyDescent="0.25">
      <c r="A130" s="6"/>
      <c r="G130" s="21"/>
      <c r="K130" s="21"/>
      <c r="L130" s="21"/>
      <c r="S130"/>
      <c r="T130"/>
      <c r="U130"/>
      <c r="V130"/>
      <c r="W130"/>
    </row>
    <row r="131" spans="1:23" s="20" customFormat="1" x14ac:dyDescent="0.25">
      <c r="A131" s="6"/>
      <c r="G131" s="21"/>
      <c r="K131" s="21"/>
      <c r="L131" s="21"/>
      <c r="S131"/>
      <c r="T131"/>
      <c r="U131"/>
      <c r="V131"/>
      <c r="W131"/>
    </row>
    <row r="132" spans="1:23" s="20" customFormat="1" x14ac:dyDescent="0.25">
      <c r="A132" s="6"/>
      <c r="G132" s="21"/>
      <c r="K132" s="21"/>
      <c r="L132" s="21"/>
      <c r="S132"/>
      <c r="T132"/>
      <c r="U132"/>
      <c r="V132"/>
      <c r="W132"/>
    </row>
    <row r="133" spans="1:23" s="20" customFormat="1" x14ac:dyDescent="0.25">
      <c r="A133" s="6"/>
      <c r="G133" s="21"/>
      <c r="K133" s="21"/>
      <c r="L133" s="21"/>
      <c r="S133"/>
      <c r="T133"/>
      <c r="U133"/>
      <c r="V133"/>
      <c r="W133"/>
    </row>
    <row r="134" spans="1:23" s="20" customFormat="1" x14ac:dyDescent="0.25">
      <c r="A134" s="6"/>
      <c r="G134" s="21"/>
      <c r="K134" s="21"/>
      <c r="L134" s="21"/>
      <c r="S134"/>
      <c r="T134"/>
      <c r="U134"/>
      <c r="V134"/>
      <c r="W134"/>
    </row>
    <row r="135" spans="1:23" s="20" customFormat="1" x14ac:dyDescent="0.25">
      <c r="A135" s="6"/>
      <c r="G135" s="21"/>
      <c r="K135" s="21"/>
      <c r="L135" s="21"/>
      <c r="S135"/>
      <c r="T135"/>
      <c r="U135"/>
      <c r="V135"/>
      <c r="W135"/>
    </row>
    <row r="136" spans="1:23" s="20" customFormat="1" x14ac:dyDescent="0.25">
      <c r="A136" s="6"/>
      <c r="G136" s="21"/>
      <c r="K136" s="21"/>
      <c r="L136" s="21"/>
      <c r="S136"/>
      <c r="T136"/>
      <c r="U136"/>
      <c r="V136"/>
      <c r="W136"/>
    </row>
    <row r="137" spans="1:23" s="20" customFormat="1" x14ac:dyDescent="0.25">
      <c r="A137" s="6"/>
      <c r="G137" s="21"/>
      <c r="K137" s="21"/>
      <c r="L137" s="21"/>
      <c r="S137"/>
      <c r="T137"/>
      <c r="U137"/>
      <c r="V137"/>
      <c r="W137"/>
    </row>
    <row r="138" spans="1:23" s="20" customFormat="1" x14ac:dyDescent="0.25">
      <c r="A138" s="6"/>
      <c r="G138" s="21"/>
      <c r="K138" s="21"/>
      <c r="L138" s="21"/>
      <c r="S138"/>
      <c r="T138"/>
      <c r="U138"/>
      <c r="V138"/>
      <c r="W138"/>
    </row>
    <row r="139" spans="1:23" s="20" customFormat="1" x14ac:dyDescent="0.25">
      <c r="A139" s="6"/>
      <c r="G139" s="21"/>
      <c r="K139" s="21"/>
      <c r="L139" s="21"/>
      <c r="S139"/>
      <c r="T139"/>
      <c r="U139"/>
      <c r="V139"/>
      <c r="W139"/>
    </row>
    <row r="140" spans="1:23" s="20" customFormat="1" x14ac:dyDescent="0.25">
      <c r="A140" s="6"/>
      <c r="G140" s="21"/>
      <c r="K140" s="21"/>
      <c r="L140" s="21"/>
      <c r="S140"/>
      <c r="T140"/>
      <c r="U140"/>
      <c r="V140"/>
      <c r="W140"/>
    </row>
    <row r="141" spans="1:23" s="20" customFormat="1" x14ac:dyDescent="0.25">
      <c r="A141" s="6"/>
      <c r="G141" s="21"/>
      <c r="K141" s="21"/>
      <c r="L141" s="21"/>
      <c r="S141"/>
      <c r="T141"/>
      <c r="U141"/>
      <c r="V141"/>
      <c r="W141"/>
    </row>
    <row r="142" spans="1:23" s="20" customFormat="1" x14ac:dyDescent="0.25">
      <c r="A142" s="6"/>
      <c r="G142" s="21"/>
      <c r="K142" s="21"/>
      <c r="L142" s="21"/>
      <c r="S142"/>
      <c r="T142"/>
      <c r="U142"/>
      <c r="V142"/>
      <c r="W142"/>
    </row>
    <row r="143" spans="1:23" s="20" customFormat="1" x14ac:dyDescent="0.25">
      <c r="A143" s="6"/>
      <c r="G143" s="21"/>
      <c r="K143" s="21"/>
      <c r="L143" s="21"/>
      <c r="S143"/>
      <c r="T143"/>
      <c r="U143"/>
      <c r="V143"/>
      <c r="W143"/>
    </row>
    <row r="144" spans="1:23" s="20" customFormat="1" x14ac:dyDescent="0.25">
      <c r="A144" s="6"/>
      <c r="G144" s="21"/>
      <c r="K144" s="21"/>
      <c r="L144" s="21"/>
      <c r="S144"/>
      <c r="T144"/>
      <c r="U144"/>
      <c r="V144"/>
      <c r="W144"/>
    </row>
    <row r="145" spans="1:23" s="20" customFormat="1" x14ac:dyDescent="0.25">
      <c r="A145" s="6"/>
      <c r="G145" s="21"/>
      <c r="K145" s="21"/>
      <c r="L145" s="21"/>
      <c r="S145"/>
      <c r="T145"/>
      <c r="U145"/>
      <c r="V145"/>
      <c r="W145"/>
    </row>
    <row r="146" spans="1:23" s="20" customFormat="1" x14ac:dyDescent="0.25">
      <c r="A146" s="6"/>
      <c r="G146" s="21"/>
      <c r="K146" s="21"/>
      <c r="L146" s="21"/>
      <c r="S146"/>
      <c r="T146"/>
      <c r="U146"/>
      <c r="V146"/>
      <c r="W146"/>
    </row>
    <row r="147" spans="1:23" s="20" customFormat="1" x14ac:dyDescent="0.25">
      <c r="A147" s="6"/>
      <c r="G147" s="21"/>
      <c r="K147" s="21"/>
      <c r="L147" s="21"/>
      <c r="S147"/>
      <c r="T147"/>
      <c r="U147"/>
      <c r="V147"/>
      <c r="W147"/>
    </row>
    <row r="148" spans="1:23" s="20" customFormat="1" x14ac:dyDescent="0.25">
      <c r="A148" s="6"/>
      <c r="G148" s="21"/>
      <c r="K148" s="21"/>
      <c r="L148" s="21"/>
      <c r="S148"/>
      <c r="T148"/>
      <c r="U148"/>
      <c r="V148"/>
      <c r="W148"/>
    </row>
    <row r="149" spans="1:23" s="20" customFormat="1" x14ac:dyDescent="0.25">
      <c r="A149" s="6"/>
      <c r="G149" s="21"/>
      <c r="K149" s="21"/>
      <c r="L149" s="21"/>
      <c r="S149"/>
      <c r="T149"/>
      <c r="U149"/>
      <c r="V149"/>
      <c r="W149"/>
    </row>
    <row r="150" spans="1:23" s="20" customFormat="1" x14ac:dyDescent="0.25">
      <c r="A150" s="6"/>
      <c r="G150" s="21"/>
      <c r="K150" s="21"/>
      <c r="L150" s="21"/>
      <c r="S150"/>
      <c r="T150"/>
      <c r="U150"/>
      <c r="V150"/>
      <c r="W150"/>
    </row>
    <row r="151" spans="1:23" s="20" customFormat="1" x14ac:dyDescent="0.25">
      <c r="A151" s="6"/>
      <c r="G151" s="21"/>
      <c r="K151" s="21"/>
      <c r="L151" s="21"/>
      <c r="S151"/>
      <c r="T151"/>
      <c r="U151"/>
      <c r="V151"/>
      <c r="W151"/>
    </row>
    <row r="152" spans="1:23" s="20" customFormat="1" x14ac:dyDescent="0.25">
      <c r="A152" s="6"/>
      <c r="G152" s="21"/>
      <c r="K152" s="21"/>
      <c r="L152" s="21"/>
      <c r="S152"/>
      <c r="T152"/>
      <c r="U152"/>
      <c r="V152"/>
      <c r="W152"/>
    </row>
    <row r="153" spans="1:23" s="20" customFormat="1" x14ac:dyDescent="0.25">
      <c r="A153" s="6"/>
      <c r="G153" s="21"/>
      <c r="K153" s="21"/>
      <c r="L153" s="21"/>
      <c r="S153"/>
      <c r="T153"/>
      <c r="U153"/>
      <c r="V153"/>
      <c r="W153"/>
    </row>
    <row r="154" spans="1:23" s="20" customFormat="1" x14ac:dyDescent="0.25">
      <c r="A154" s="6"/>
      <c r="G154" s="21"/>
      <c r="K154" s="21"/>
      <c r="L154" s="21"/>
      <c r="S154"/>
      <c r="T154"/>
      <c r="U154"/>
      <c r="V154"/>
      <c r="W154"/>
    </row>
    <row r="155" spans="1:23" s="20" customFormat="1" x14ac:dyDescent="0.25">
      <c r="A155" s="6"/>
      <c r="G155" s="21"/>
      <c r="K155" s="21"/>
      <c r="L155" s="21"/>
      <c r="S155"/>
      <c r="T155"/>
      <c r="U155"/>
      <c r="V155"/>
      <c r="W155"/>
    </row>
    <row r="156" spans="1:23" s="20" customFormat="1" x14ac:dyDescent="0.25">
      <c r="A156" s="6"/>
      <c r="G156" s="21"/>
      <c r="K156" s="21"/>
      <c r="L156" s="21"/>
      <c r="S156"/>
      <c r="T156"/>
      <c r="U156"/>
      <c r="V156"/>
      <c r="W156"/>
    </row>
    <row r="157" spans="1:23" s="20" customFormat="1" x14ac:dyDescent="0.25">
      <c r="A157" s="6"/>
      <c r="G157" s="21"/>
      <c r="K157" s="21"/>
      <c r="L157" s="21"/>
      <c r="S157"/>
      <c r="T157"/>
      <c r="U157"/>
      <c r="V157"/>
      <c r="W157"/>
    </row>
    <row r="158" spans="1:23" s="20" customFormat="1" x14ac:dyDescent="0.25">
      <c r="A158" s="6"/>
      <c r="G158" s="21"/>
      <c r="K158" s="21"/>
      <c r="L158" s="21"/>
      <c r="S158"/>
      <c r="T158"/>
      <c r="U158"/>
      <c r="V158"/>
      <c r="W158"/>
    </row>
    <row r="159" spans="1:23" s="20" customFormat="1" x14ac:dyDescent="0.25">
      <c r="A159" s="6"/>
      <c r="G159" s="21"/>
      <c r="K159" s="21"/>
      <c r="L159" s="21"/>
      <c r="S159"/>
      <c r="T159"/>
      <c r="U159"/>
      <c r="V159"/>
      <c r="W159"/>
    </row>
    <row r="160" spans="1:23" s="20" customFormat="1" x14ac:dyDescent="0.25">
      <c r="A160" s="6"/>
      <c r="G160" s="21"/>
      <c r="K160" s="21"/>
      <c r="L160" s="21"/>
      <c r="S160"/>
      <c r="T160"/>
      <c r="U160"/>
      <c r="V160"/>
      <c r="W160"/>
    </row>
    <row r="161" spans="1:23" s="20" customFormat="1" x14ac:dyDescent="0.25">
      <c r="A161" s="6"/>
      <c r="G161" s="21"/>
      <c r="K161" s="21"/>
      <c r="L161" s="21"/>
      <c r="S161"/>
      <c r="T161"/>
      <c r="U161"/>
      <c r="V161"/>
      <c r="W161"/>
    </row>
    <row r="162" spans="1:23" s="20" customFormat="1" x14ac:dyDescent="0.25">
      <c r="A162" s="6"/>
      <c r="G162" s="21"/>
      <c r="K162" s="21"/>
      <c r="L162" s="21"/>
      <c r="S162"/>
      <c r="T162"/>
      <c r="U162"/>
      <c r="V162"/>
      <c r="W162"/>
    </row>
    <row r="163" spans="1:23" s="20" customFormat="1" x14ac:dyDescent="0.25">
      <c r="A163" s="6"/>
      <c r="G163" s="21"/>
      <c r="K163" s="21"/>
      <c r="L163" s="21"/>
      <c r="S163"/>
      <c r="T163"/>
      <c r="U163"/>
      <c r="V163"/>
      <c r="W163"/>
    </row>
    <row r="164" spans="1:23" s="20" customFormat="1" x14ac:dyDescent="0.25">
      <c r="A164" s="6"/>
      <c r="G164" s="21"/>
      <c r="K164" s="21"/>
      <c r="L164" s="21"/>
      <c r="S164"/>
      <c r="T164"/>
      <c r="U164"/>
      <c r="V164"/>
      <c r="W164"/>
    </row>
    <row r="165" spans="1:23" s="20" customFormat="1" x14ac:dyDescent="0.25">
      <c r="A165" s="6"/>
      <c r="G165" s="21"/>
      <c r="K165" s="21"/>
      <c r="L165" s="21"/>
      <c r="S165"/>
      <c r="T165"/>
      <c r="U165"/>
      <c r="V165"/>
      <c r="W165"/>
    </row>
    <row r="166" spans="1:23" s="20" customFormat="1" x14ac:dyDescent="0.25">
      <c r="A166" s="6"/>
      <c r="K166" s="21"/>
      <c r="L166" s="21"/>
      <c r="S166"/>
      <c r="T166"/>
      <c r="U166"/>
      <c r="V166"/>
      <c r="W166"/>
    </row>
    <row r="167" spans="1:23" s="20" customFormat="1" x14ac:dyDescent="0.25">
      <c r="A167" s="6"/>
      <c r="K167" s="21"/>
      <c r="L167" s="21"/>
      <c r="S167"/>
      <c r="T167"/>
      <c r="U167"/>
      <c r="V167"/>
      <c r="W167"/>
    </row>
  </sheetData>
  <mergeCells count="6">
    <mergeCell ref="A8:E8"/>
    <mergeCell ref="A27:E27"/>
    <mergeCell ref="A30:E30"/>
    <mergeCell ref="A6:E6"/>
    <mergeCell ref="A28:E28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FY22-23</vt:lpstr>
      <vt:lpstr>FY 21-22</vt:lpstr>
      <vt:lpstr>'FY 23-24'!Print_Area</vt:lpstr>
      <vt:lpstr>'FY 24-25'!Print_Area</vt:lpstr>
      <vt:lpstr>'FY 25-26'!Print_Area</vt:lpstr>
      <vt:lpstr>'FY 26-27'!Print_Area</vt:lpstr>
      <vt:lpstr>'FY22-23'!Print_Area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2025-06-11T16:15:36Z</cp:lastPrinted>
  <dcterms:created xsi:type="dcterms:W3CDTF">2022-01-10T16:49:23Z</dcterms:created>
  <dcterms:modified xsi:type="dcterms:W3CDTF">2026-09-09T16:02:37Z</dcterms:modified>
</cp:coreProperties>
</file>