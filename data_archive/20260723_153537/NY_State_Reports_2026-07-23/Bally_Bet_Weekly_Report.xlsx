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4B519BDD-4C42-413D-BF31-6EB417CC599C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6" r:id="rId1"/>
    <sheet name="FY 25-26" sheetId="5" r:id="rId2"/>
    <sheet name="FY 24-25" sheetId="4" r:id="rId3"/>
    <sheet name="FY 23-24" sheetId="3" r:id="rId4"/>
    <sheet name="FY22-23" sheetId="2" r:id="rId5"/>
    <sheet name="FY21-22" sheetId="1" state="hidden" r:id="rId6"/>
  </sheets>
  <definedNames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6" l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7" i="3"/>
  <c r="C67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F66" i="2"/>
  <c r="C66" i="2"/>
  <c r="A14" i="2" l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D29" i="1" l="1"/>
  <c r="B29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<sst xmlns="http://schemas.openxmlformats.org/spreadsheetml/2006/main" count="85" uniqueCount="18">
  <si>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</si>
  <si>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</si>
  <si>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</si>
  <si>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</si>
  <si>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</si>
  <si>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</si>
  <si>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</si>
  <si>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</si>
  <si>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</si>
  <si>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</si>
  <si>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Bally Bet</t>
  </si>
  <si>
    <t xml:space="preserve">2) Mobile Sports Wagering Gross Gaming Revenue (GGR) is taxed at 51%. </t>
  </si>
  <si>
    <t xml:space="preserve"> Fiscal Year 2022/2023</t>
  </si>
  <si>
    <t>3) BallyBet began operating in NY on 7/7/2022.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</si>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</sst>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0" fontId="7" fillId="0" borderId="0" xfId="0" applyFont="1" applyFill="1" applyAlignment="1">
      <alignment horizontal="center"/>
    </xf>
    <xf numFmtId="164" fontId="6" fillId="0" borderId="0" xfId="0" applyNumberFormat="1" applyFont="1" applyFill="1" applyBorder="1" applyAlignment="1"/>
    <xf numFmtId="6" fontId="0" fillId="0" borderId="0" xfId="0" applyNumberFormat="1" applyBorder="1"/>
    <xf numFmtId="6" fontId="2" fillId="0" borderId="0" xfId="0" applyNumberFormat="1" applyFont="1" applyAlignment="1"/>
    <xf numFmtId="6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0" xfId="0" applyBorder="1"/>
    <xf numFmtId="6" fontId="3" fillId="0" borderId="0" xfId="1" applyNumberFormat="1" applyAlignment="1" applyProtection="1"/>
    <xf numFmtId="6" fontId="1" fillId="0" borderId="0" xfId="0" applyNumberFormat="1" applyFont="1" applyAlignment="1"/>
    <xf numFmtId="38" fontId="8" fillId="0" borderId="0" xfId="0" applyNumberFormat="1" applyFont="1" applyBorder="1" applyAlignment="1">
      <alignment horizontal="center" vertical="center" wrapText="1"/>
    </xf>
    <xf numFmtId="38" fontId="8" fillId="0" borderId="0" xfId="0" applyNumberFormat="1" applyFont="1" applyBorder="1" applyAlignment="1">
      <alignment horizontal="center" vertical="center" wrapText="1"/>
    </xf>
    <xf numFmtId="38" fontId="8" fillId="0" borderId="0" xfId="0" applyNumberFormat="1" applyFont="1" applyBorder="1" applyAlignment="1">
      <alignment horizontal="center" vertical="center" wrapText="1"/>
    </xf>
    <xf numFmtId="0" fontId="11" fillId="0" borderId="0" xfId="0" applyFont="1"/>
    <xf numFmtId="5" fontId="0" fillId="0" borderId="2" xfId="0" applyNumberFormat="1" applyBorder="1"/>
    <xf numFmtId="38" fontId="8" fillId="0" borderId="0" xfId="0" applyNumberFormat="1" applyFont="1" applyBorder="1" applyAlignment="1">
      <alignment horizontal="center" vertical="center" wrapText="1"/>
    </xf>
    <xf numFmtId="38" fontId="8" fillId="0" borderId="0" xfId="0" applyNumberFormat="1" applyFont="1" applyBorder="1" applyAlignment="1">
      <alignment horizontal="center" vertical="center" wrapText="1"/>
    </xf>
    <xf numFmtId="38" fontId="8" fillId="0" borderId="0" xfId="0" applyNumberFormat="1" applyFont="1" applyBorder="1" applyAlignment="1">
      <alignment horizontal="center" vertical="center" wrapText="1"/>
    </xf>
    <xf numFmtId="38" fontId="8" fillId="0" borderId="0" xfId="0" applyNumberFormat="1" applyFont="1" applyBorder="1" applyAlignment="1">
      <alignment horizontal="center" vertical="center" wrapText="1"/>
    </xf>
    <xf numFmtId="164" fontId="6" fillId="2" borderId="0" xfId="0" applyNumberFormat="1" applyFont="1" applyFill="1" applyBorder="1" applyAlignment="1">
      <alignment horizontal="center"/>
    </xf>
    <xf numFmtId="38" fontId="8" fillId="0" borderId="0" xfId="0" applyNumberFormat="1" applyFont="1" applyBorder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42414F-1C0D-4469-87A7-09B238BE406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0FE39F-68A9-4EE8-ABE8-E1860A6EB27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3B40FB-EF11-4F05-ADFE-213A71B8776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20360-7927-478B-B9B0-AB5E080FED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3D3650-967D-426D-958B-3DF77D2E91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19045</xdr:rowOff>
    </xdr:from>
    <xdr:to>
      <xdr:col>1</xdr:col>
      <xdr:colOff>259551</xdr:colOff>
      <xdr:row>4</xdr:row>
      <xdr:rowOff>173826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BAA7B22-C4ED-47EB-8895-94BE463EAF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19045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5F06-B236-48D3-827A-ACCC5151C7B5}">
  <sheetPr>
    <pageSetUpPr fitToPage="1"/>
  </sheetPr>
  <dimension ref="A1:AB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27" sqref="J27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2"/>
      <c r="U1" s="2"/>
      <c r="V1" s="2"/>
      <c r="W1" s="2"/>
      <c r="X1" s="2"/>
    </row>
    <row r="2" spans="1:28" s="3" customFormat="1" ht="15.75" x14ac:dyDescent="0.25"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2"/>
      <c r="U2" s="2"/>
      <c r="V2" s="2"/>
      <c r="W2" s="2"/>
      <c r="X2" s="2"/>
    </row>
    <row r="3" spans="1:28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8" s="3" customFormat="1" ht="18" x14ac:dyDescent="0.25">
      <c r="B4" s="37"/>
      <c r="C4" s="37"/>
      <c r="D4" s="37"/>
      <c r="E4" s="37"/>
      <c r="F4" s="37"/>
      <c r="G4" s="3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8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8" s="10" customFormat="1" ht="15" customHeight="1" x14ac:dyDescent="0.25">
      <c r="A6" s="47" t="s">
        <v>17</v>
      </c>
      <c r="B6" s="47"/>
      <c r="C6" s="47"/>
      <c r="D6" s="47"/>
      <c r="E6" s="47"/>
      <c r="F6" s="47"/>
      <c r="G6" s="47"/>
      <c r="H6" s="47"/>
      <c r="I6" s="47"/>
      <c r="J6" s="47"/>
      <c r="K6" s="30"/>
      <c r="L6" s="30"/>
      <c r="M6" s="30"/>
      <c r="N6" s="30"/>
      <c r="O6" s="30"/>
      <c r="P6" s="30"/>
      <c r="Q6" s="30"/>
      <c r="R6" s="30"/>
      <c r="S6" s="30"/>
      <c r="T6" s="29"/>
      <c r="U6" s="29"/>
    </row>
    <row r="7" spans="1:28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8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8" s="13" customFormat="1" ht="12.75" x14ac:dyDescent="0.2">
      <c r="B9" s="46"/>
      <c r="C9" s="46"/>
      <c r="D9" s="46"/>
      <c r="E9" s="46"/>
      <c r="F9" s="46"/>
      <c r="G9" s="46"/>
    </row>
    <row r="10" spans="1:28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8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x14ac:dyDescent="0.25">
      <c r="A13" s="20">
        <v>46110</v>
      </c>
      <c r="B13" s="20"/>
      <c r="C13" s="21">
        <v>3233405.34</v>
      </c>
      <c r="F13" s="23">
        <v>317181.41000000003</v>
      </c>
      <c r="G13"/>
      <c r="H13"/>
      <c r="I13"/>
      <c r="L13" s="21"/>
      <c r="M13" s="21"/>
      <c r="N13"/>
      <c r="O13"/>
      <c r="P13"/>
      <c r="Q13"/>
      <c r="R13"/>
      <c r="S13"/>
    </row>
    <row r="14" spans="1:28" x14ac:dyDescent="0.25">
      <c r="A14" s="20">
        <f t="shared" ref="A14:A65" si="0">A13+7</f>
        <v>46117</v>
      </c>
      <c r="B14" s="20"/>
      <c r="C14" s="21">
        <v>3305918.53</v>
      </c>
      <c r="F14" s="23">
        <v>454606.45000000007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8" x14ac:dyDescent="0.25">
      <c r="A15" s="20">
        <f t="shared" si="0"/>
        <v>46124</v>
      </c>
      <c r="B15" s="20"/>
      <c r="C15" s="21">
        <v>3535111.1200000006</v>
      </c>
      <c r="F15" s="23">
        <v>266816.23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20">
        <f t="shared" si="0"/>
        <v>46131</v>
      </c>
      <c r="B16" s="20"/>
      <c r="C16" s="21">
        <v>3951639.0999999996</v>
      </c>
      <c r="F16" s="23">
        <v>213536.85000000003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3799264.1799999997</v>
      </c>
      <c r="F17" s="23">
        <v>321418.93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3627243.7400000007</v>
      </c>
      <c r="F18" s="23">
        <v>128885.74000000011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3326771.7399999998</v>
      </c>
      <c r="F19" s="23">
        <v>421481.35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2788027.59</v>
      </c>
      <c r="F20" s="23">
        <v>301017.67000000004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3434340.4699999997</v>
      </c>
      <c r="F21" s="23">
        <v>247199.92000000004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2937472.8</v>
      </c>
      <c r="F22" s="23">
        <v>244747.55000000005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2338253.02</v>
      </c>
      <c r="F23" s="23">
        <v>174174.57000000004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2879405.3000000003</v>
      </c>
      <c r="F24" s="23">
        <v>104045.84999999986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3197891.85</v>
      </c>
      <c r="F25" s="23">
        <v>361196.47999999992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3624628.1499999994</v>
      </c>
      <c r="F26" s="23">
        <v>344739.83999999985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3104065.04</v>
      </c>
      <c r="F27" s="23">
        <v>312545.5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2864165.86</v>
      </c>
      <c r="F28" s="23">
        <v>230664.83999999991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F29" s="23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F30" s="23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F31" s="23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F32" s="23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F33" s="2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23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23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2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2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2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2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2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2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2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2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2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2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2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2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2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2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2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2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2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2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2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2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2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2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2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2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2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2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2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51947603.829999998</v>
      </c>
      <c r="D67" s="31"/>
      <c r="E67" s="31"/>
      <c r="F67" s="24">
        <f>SUM(F13:F66)</f>
        <v>4444259.18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9" t="s">
        <v>11</v>
      </c>
      <c r="B71" s="49"/>
      <c r="C71" s="49"/>
      <c r="D71" s="49"/>
      <c r="E71" s="49"/>
      <c r="F71" s="49"/>
      <c r="G71" s="49"/>
      <c r="H71" s="49"/>
      <c r="I71" s="49"/>
      <c r="J71" s="49"/>
      <c r="K71"/>
      <c r="L71"/>
      <c r="M71"/>
      <c r="N71"/>
      <c r="O71"/>
      <c r="P71"/>
      <c r="Q71"/>
      <c r="R71"/>
      <c r="S71"/>
    </row>
    <row r="72" spans="1:19" x14ac:dyDescent="0.25">
      <c r="A72" s="50" t="s">
        <v>10</v>
      </c>
      <c r="B72" s="50"/>
      <c r="C72" s="50"/>
      <c r="D72" s="50"/>
      <c r="E72" s="50"/>
      <c r="F72" s="50"/>
      <c r="G72" s="50"/>
      <c r="H72" s="50"/>
      <c r="I72" s="50"/>
      <c r="J72" s="50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F37E-FC72-4479-9BE7-47F4120E8E8E}">
  <sheetPr>
    <pageSetUpPr fitToPage="1"/>
  </sheetPr>
  <dimension ref="A1:AB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2"/>
      <c r="U1" s="2"/>
      <c r="V1" s="2"/>
      <c r="W1" s="2"/>
      <c r="X1" s="2"/>
    </row>
    <row r="2" spans="1:28" s="3" customFormat="1" ht="15.75" x14ac:dyDescent="0.25"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2"/>
      <c r="U2" s="2"/>
      <c r="V2" s="2"/>
      <c r="W2" s="2"/>
      <c r="X2" s="2"/>
    </row>
    <row r="3" spans="1:28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8" s="3" customFormat="1" ht="18" x14ac:dyDescent="0.25">
      <c r="B4" s="37"/>
      <c r="C4" s="37"/>
      <c r="D4" s="37"/>
      <c r="E4" s="37"/>
      <c r="F4" s="37"/>
      <c r="G4" s="3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8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8" s="10" customFormat="1" ht="15" customHeight="1" x14ac:dyDescent="0.25">
      <c r="A6" s="47" t="s">
        <v>16</v>
      </c>
      <c r="B6" s="47"/>
      <c r="C6" s="47"/>
      <c r="D6" s="47"/>
      <c r="E6" s="47"/>
      <c r="F6" s="47"/>
      <c r="G6" s="47"/>
      <c r="H6" s="47"/>
      <c r="I6" s="47"/>
      <c r="J6" s="47"/>
      <c r="K6" s="30"/>
      <c r="L6" s="30"/>
      <c r="M6" s="30"/>
      <c r="N6" s="30"/>
      <c r="O6" s="30"/>
      <c r="P6" s="30"/>
      <c r="Q6" s="30"/>
      <c r="R6" s="30"/>
      <c r="S6" s="30"/>
      <c r="T6" s="29"/>
      <c r="U6" s="29"/>
    </row>
    <row r="7" spans="1:28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8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8" s="13" customFormat="1" ht="12.75" x14ac:dyDescent="0.2">
      <c r="B9" s="45"/>
      <c r="C9" s="45"/>
      <c r="D9" s="45"/>
      <c r="E9" s="45"/>
      <c r="F9" s="45"/>
      <c r="G9" s="45"/>
    </row>
    <row r="10" spans="1:28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8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x14ac:dyDescent="0.25">
      <c r="A13" s="20">
        <v>45746</v>
      </c>
      <c r="B13" s="20"/>
      <c r="C13" s="21">
        <v>2570846.0599999996</v>
      </c>
      <c r="F13" s="23">
        <v>42984.810000000027</v>
      </c>
      <c r="G13"/>
      <c r="H13"/>
      <c r="I13"/>
      <c r="L13" s="21"/>
      <c r="M13" s="21"/>
      <c r="N13"/>
      <c r="O13"/>
      <c r="P13"/>
      <c r="Q13"/>
      <c r="R13"/>
      <c r="S13"/>
    </row>
    <row r="14" spans="1:28" x14ac:dyDescent="0.25">
      <c r="A14" s="20">
        <f t="shared" ref="A14:A64" si="0">A13+7</f>
        <v>45753</v>
      </c>
      <c r="B14" s="20"/>
      <c r="C14" s="21">
        <v>2807404.26</v>
      </c>
      <c r="F14" s="23">
        <v>99347.279999999912</v>
      </c>
      <c r="G14"/>
      <c r="H14"/>
      <c r="I14"/>
      <c r="L14" s="21"/>
      <c r="M14" s="21"/>
      <c r="N14"/>
      <c r="O14"/>
      <c r="P14"/>
      <c r="Q14"/>
      <c r="R14"/>
      <c r="S14"/>
    </row>
    <row r="15" spans="1:28" x14ac:dyDescent="0.25">
      <c r="A15" s="20">
        <f t="shared" si="0"/>
        <v>45760</v>
      </c>
      <c r="B15" s="20"/>
      <c r="C15" s="21">
        <v>2418114.8199999998</v>
      </c>
      <c r="F15" s="23">
        <v>134019.37000000008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20">
        <f t="shared" si="0"/>
        <v>45767</v>
      </c>
      <c r="B16" s="20"/>
      <c r="C16" s="21">
        <v>2526518.5000000005</v>
      </c>
      <c r="F16" s="23">
        <v>-11808.640000000043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2822781.2199999997</v>
      </c>
      <c r="F17" s="23">
        <v>237740.31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2445600.37</v>
      </c>
      <c r="F18" s="23">
        <v>46675.930000000022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2794661.5199999996</v>
      </c>
      <c r="F19" s="23">
        <v>153192.25000000003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2671212.7000000002</v>
      </c>
      <c r="F20" s="23">
        <v>220766.98000000021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2609847.66</v>
      </c>
      <c r="F21" s="23">
        <v>127326.51000000001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2932683.43</v>
      </c>
      <c r="F22" s="23">
        <v>161087.69999999995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2451108.69</v>
      </c>
      <c r="F23" s="23">
        <v>132273.8900000001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2096027.6699999997</v>
      </c>
      <c r="F24" s="23">
        <v>144198.94999999995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2471464.37</v>
      </c>
      <c r="F25" s="23">
        <v>220353.69999999992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2253202.75</v>
      </c>
      <c r="F26" s="23">
        <v>246892.2000000001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2313382.08</v>
      </c>
      <c r="F27" s="23">
        <v>228494.03999999995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2069287.61</v>
      </c>
      <c r="F28" s="23">
        <v>193913.43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2034287.8199999998</v>
      </c>
      <c r="F29" s="23">
        <v>153143.93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1855665.6899999997</v>
      </c>
      <c r="F30" s="23">
        <v>201975.42999999993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2437520.64</v>
      </c>
      <c r="F31" s="23">
        <v>191688.02999999997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2274713.8600000003</v>
      </c>
      <c r="F32" s="23">
        <v>251339.47000000006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2337366.62</v>
      </c>
      <c r="F33" s="23">
        <v>136675.71999999997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2519768.1199999996</v>
      </c>
      <c r="F34" s="23">
        <v>146854.52999999997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3351326.54</v>
      </c>
      <c r="F35" s="23">
        <v>253166.42999999993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2809731.73</v>
      </c>
      <c r="F36" s="23">
        <v>137001.5100000001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2923311.1</v>
      </c>
      <c r="F37" s="23">
        <v>238137.76999999984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3308273.37</v>
      </c>
      <c r="F38" s="23">
        <v>83879.960000000021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3278875.22</v>
      </c>
      <c r="F39" s="23">
        <v>293928.68999999989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3233512.4999999995</v>
      </c>
      <c r="F40" s="23">
        <v>56857.520000000077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3631918.54</v>
      </c>
      <c r="F41" s="23">
        <v>302268.76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4574710.7799999993</v>
      </c>
      <c r="F42" s="23">
        <v>331949.40000000002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3686613.37</v>
      </c>
      <c r="F43" s="23">
        <v>277729.8600000001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3521175.2499999995</v>
      </c>
      <c r="F44" s="23">
        <v>234570.44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4238557.2</v>
      </c>
      <c r="F45" s="23">
        <v>251441.62000000005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3793571.88</v>
      </c>
      <c r="F46" s="23">
        <v>295824.40000000002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3667308.74</v>
      </c>
      <c r="F47" s="23">
        <v>246755.90000000002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3732968.9999999995</v>
      </c>
      <c r="F48" s="23">
        <v>260765.79000000015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2635834.16</v>
      </c>
      <c r="F49" s="23">
        <v>221066.93999999994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2994070.6900000004</v>
      </c>
      <c r="F50" s="23">
        <v>180017.11999999991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2881594.56</v>
      </c>
      <c r="F51" s="23">
        <v>331069.16000000003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3368079.66</v>
      </c>
      <c r="F52" s="23">
        <v>308505.59999999992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3548827.7800000003</v>
      </c>
      <c r="F53" s="23">
        <v>446795.43000000011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3484029.98</v>
      </c>
      <c r="F54" s="23">
        <v>247416.34999999998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3934197.25</v>
      </c>
      <c r="F55" s="23">
        <v>616081.39999999991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3957860.07</v>
      </c>
      <c r="F56" s="23">
        <v>379616.03000000009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4278814.8599999994</v>
      </c>
      <c r="F57" s="23">
        <v>66824.940000000235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4011612.31</v>
      </c>
      <c r="F58" s="23">
        <v>559100.39000000013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3038594.04</v>
      </c>
      <c r="F59" s="23">
        <v>232713.54999999993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3192937.0300000003</v>
      </c>
      <c r="F60" s="23">
        <v>223579.26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3150764.8</v>
      </c>
      <c r="F61" s="23">
        <v>209467.21000000008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3224948.1900000004</v>
      </c>
      <c r="F62" s="23">
        <v>387684.22000000009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2926252.7899999996</v>
      </c>
      <c r="F63" s="23">
        <v>386502.70000000019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3243209.63</v>
      </c>
      <c r="F64" s="23">
        <v>452655.65999999992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157336949.47999999</v>
      </c>
      <c r="D67" s="31"/>
      <c r="E67" s="31"/>
      <c r="F67" s="24">
        <f>SUM(F13:F66)</f>
        <v>11972509.830000006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9" t="s">
        <v>11</v>
      </c>
      <c r="B71" s="49"/>
      <c r="C71" s="49"/>
      <c r="D71" s="49"/>
      <c r="E71" s="49"/>
      <c r="F71" s="49"/>
      <c r="G71" s="49"/>
      <c r="H71" s="49"/>
      <c r="I71" s="49"/>
      <c r="J71" s="49"/>
      <c r="K71"/>
      <c r="L71"/>
      <c r="M71"/>
      <c r="N71"/>
      <c r="O71"/>
      <c r="P71"/>
      <c r="Q71"/>
      <c r="R71"/>
      <c r="S71"/>
    </row>
    <row r="72" spans="1:19" x14ac:dyDescent="0.25">
      <c r="A72" s="50" t="s">
        <v>10</v>
      </c>
      <c r="B72" s="50"/>
      <c r="C72" s="50"/>
      <c r="D72" s="50"/>
      <c r="E72" s="50"/>
      <c r="F72" s="50"/>
      <c r="G72" s="50"/>
      <c r="H72" s="50"/>
      <c r="I72" s="50"/>
      <c r="J72" s="50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128C-E3C5-4DC8-8024-A522CF4659C0}">
  <sheetPr>
    <pageSetUpPr fitToPage="1"/>
  </sheetPr>
  <dimension ref="A1:AB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J64" sqref="J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2"/>
      <c r="U1" s="2"/>
      <c r="V1" s="2"/>
      <c r="W1" s="2"/>
      <c r="X1" s="2"/>
    </row>
    <row r="2" spans="1:28" s="3" customFormat="1" ht="15.75" x14ac:dyDescent="0.25"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2"/>
      <c r="U2" s="2"/>
      <c r="V2" s="2"/>
      <c r="W2" s="2"/>
      <c r="X2" s="2"/>
    </row>
    <row r="3" spans="1:28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8" s="3" customFormat="1" ht="18" x14ac:dyDescent="0.25">
      <c r="B4" s="37"/>
      <c r="C4" s="37"/>
      <c r="D4" s="37"/>
      <c r="E4" s="37"/>
      <c r="F4" s="37"/>
      <c r="G4" s="3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8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8" s="10" customFormat="1" ht="15" customHeight="1" x14ac:dyDescent="0.25">
      <c r="A6" s="47" t="s">
        <v>15</v>
      </c>
      <c r="B6" s="47"/>
      <c r="C6" s="47"/>
      <c r="D6" s="47"/>
      <c r="E6" s="47"/>
      <c r="F6" s="47"/>
      <c r="G6" s="47"/>
      <c r="H6" s="47"/>
      <c r="I6" s="47"/>
      <c r="J6" s="47"/>
      <c r="K6" s="30"/>
      <c r="L6" s="30"/>
      <c r="M6" s="30"/>
      <c r="N6" s="30"/>
      <c r="O6" s="30"/>
      <c r="P6" s="30"/>
      <c r="Q6" s="30"/>
      <c r="R6" s="30"/>
      <c r="S6" s="30"/>
      <c r="T6" s="29"/>
      <c r="U6" s="29"/>
    </row>
    <row r="7" spans="1:28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8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8" s="13" customFormat="1" ht="12.75" x14ac:dyDescent="0.2">
      <c r="B9" s="44"/>
      <c r="C9" s="44"/>
      <c r="D9" s="44"/>
      <c r="E9" s="44"/>
      <c r="F9" s="44"/>
      <c r="G9" s="44"/>
    </row>
    <row r="10" spans="1:28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8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x14ac:dyDescent="0.25">
      <c r="A13" s="20">
        <v>45382</v>
      </c>
      <c r="B13" s="20"/>
      <c r="C13" s="21">
        <v>2220630.83</v>
      </c>
      <c r="F13" s="23">
        <v>180668.75</v>
      </c>
      <c r="G13"/>
      <c r="H13"/>
      <c r="I13"/>
      <c r="L13" s="21"/>
      <c r="M13" s="21"/>
      <c r="N13"/>
      <c r="O13"/>
      <c r="P13"/>
      <c r="Q13"/>
      <c r="R13"/>
      <c r="S13"/>
    </row>
    <row r="14" spans="1:28" x14ac:dyDescent="0.25">
      <c r="A14" s="20">
        <f t="shared" ref="A14:A64" si="0">A13+7</f>
        <v>45389</v>
      </c>
      <c r="B14" s="20"/>
      <c r="C14" s="21">
        <v>2039533.53</v>
      </c>
      <c r="F14" s="23">
        <v>113500.63000000003</v>
      </c>
      <c r="G14"/>
      <c r="H14"/>
      <c r="I14"/>
      <c r="L14" s="21"/>
      <c r="M14" s="21"/>
      <c r="N14"/>
      <c r="O14"/>
      <c r="P14"/>
      <c r="Q14"/>
      <c r="R14"/>
      <c r="S14"/>
    </row>
    <row r="15" spans="1:28" x14ac:dyDescent="0.25">
      <c r="A15" s="20">
        <f t="shared" si="0"/>
        <v>45396</v>
      </c>
      <c r="B15" s="20"/>
      <c r="C15" s="21">
        <v>1666913.1899999997</v>
      </c>
      <c r="F15" s="23">
        <v>1281.4800000000105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20">
        <f t="shared" si="0"/>
        <v>45403</v>
      </c>
      <c r="B16" s="20"/>
      <c r="C16" s="21">
        <v>1658452.2200000002</v>
      </c>
      <c r="F16" s="23">
        <v>194601.44000000003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1971800.44</v>
      </c>
      <c r="F17" s="23">
        <v>216898.53999999992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1710285.31</v>
      </c>
      <c r="F18" s="23">
        <v>-33563.399999999994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1977247.0100000002</v>
      </c>
      <c r="F19" s="23">
        <v>285039.89000000007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2125846.4299999997</v>
      </c>
      <c r="F20" s="23">
        <v>141498.56999999998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1743642.2799999998</v>
      </c>
      <c r="F21" s="23">
        <v>157429.50999999995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1536482.89</v>
      </c>
      <c r="F22" s="23">
        <v>56406.919999999955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1836700.64</v>
      </c>
      <c r="F23" s="23">
        <v>204982.11999999997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1244504.04</v>
      </c>
      <c r="F24" s="23">
        <v>158776.12999999995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1567251.46</v>
      </c>
      <c r="F25" s="23">
        <v>63273.489999999991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1614042.08</v>
      </c>
      <c r="F26" s="23">
        <v>215750.29000000004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1296502.6100000001</v>
      </c>
      <c r="F27" s="23">
        <v>90442.520000000019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1538694.66</v>
      </c>
      <c r="F28" s="23">
        <v>115199.87999999995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1183815.3600000001</v>
      </c>
      <c r="F29" s="23">
        <v>82818.159999999989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1627681.63</v>
      </c>
      <c r="F30" s="23">
        <v>122130.79999999996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1753925.0299999998</v>
      </c>
      <c r="F31" s="23">
        <v>203318.47000000003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1280000.6000000001</v>
      </c>
      <c r="F32" s="23">
        <v>49914.740000000034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1446365.5999999999</v>
      </c>
      <c r="F33" s="23">
        <v>27334.52999999997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1892020.8900000001</v>
      </c>
      <c r="F34" s="23">
        <v>-6406.8299999999872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2324832.88</v>
      </c>
      <c r="F35" s="23">
        <v>235017.87000000002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2828660.9999999995</v>
      </c>
      <c r="F36" s="23">
        <v>146210.87999999995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2538468.52</v>
      </c>
      <c r="F37" s="23">
        <v>391466.23999999999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2423178.44</v>
      </c>
      <c r="F38" s="23">
        <v>163224.21999999991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2294648.9000000004</v>
      </c>
      <c r="F39" s="23">
        <v>313138.20999999996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2203068.08</v>
      </c>
      <c r="F40" s="23">
        <v>251240.22000000009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2320970.0300000003</v>
      </c>
      <c r="F41" s="23">
        <v>93554.25999999998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2761376.4199999995</v>
      </c>
      <c r="F42" s="23">
        <v>-270933.24000000017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2676413.29</v>
      </c>
      <c r="F43" s="23">
        <v>250920.29999999996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2726070.51</v>
      </c>
      <c r="F44" s="23">
        <v>56408.960000000079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2215802.1399999997</v>
      </c>
      <c r="F45" s="23">
        <v>360177.37000000011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1967479.5600000003</v>
      </c>
      <c r="F46" s="23">
        <v>327098.13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2444765.42</v>
      </c>
      <c r="F47" s="23">
        <v>219500.22000000003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3257755.07</v>
      </c>
      <c r="F48" s="23">
        <v>169282.01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4189653.8000000003</v>
      </c>
      <c r="F49" s="23">
        <v>89433.230000000156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2809630.28</v>
      </c>
      <c r="F50" s="23">
        <v>182761.69999999998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2444669.5699999998</v>
      </c>
      <c r="F51" s="23">
        <v>114499.16000000015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2340539.94</v>
      </c>
      <c r="F52" s="23">
        <v>160318.80999999988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2679161.0699999998</v>
      </c>
      <c r="F53" s="23">
        <v>291615.31000000011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2278894.14</v>
      </c>
      <c r="F54" s="23">
        <v>216572.89999999991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2556940.1199999996</v>
      </c>
      <c r="F55" s="23">
        <v>262796.36999999988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2394186.27</v>
      </c>
      <c r="F56" s="23">
        <v>113148.95000000004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1857910.16</v>
      </c>
      <c r="F57" s="23">
        <v>239358.40999999992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1897480.78</v>
      </c>
      <c r="F58" s="23">
        <v>171489.54000000004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1553801.68</v>
      </c>
      <c r="F59" s="23">
        <v>97465.700000000012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1690920.6099999999</v>
      </c>
      <c r="F60" s="23">
        <v>105131.38999999998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2099167.75</v>
      </c>
      <c r="F61" s="23">
        <v>102964.4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2158076.0099999998</v>
      </c>
      <c r="F62" s="23">
        <v>35666.919999999984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2410623.16</v>
      </c>
      <c r="F63" s="23">
        <v>-39623.399999999965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2381068.2200000002</v>
      </c>
      <c r="F64" s="23">
        <v>148404.10000000003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109658552.54999998</v>
      </c>
      <c r="D67" s="31"/>
      <c r="E67" s="31"/>
      <c r="F67" s="24">
        <f>SUM(F13:F66)</f>
        <v>7639605.7700000005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9" t="s">
        <v>11</v>
      </c>
      <c r="B71" s="49"/>
      <c r="C71" s="49"/>
      <c r="D71" s="49"/>
      <c r="E71" s="49"/>
      <c r="F71" s="49"/>
      <c r="G71" s="49"/>
      <c r="H71" s="49"/>
      <c r="I71" s="49"/>
      <c r="J71" s="49"/>
      <c r="K71"/>
      <c r="L71"/>
      <c r="M71"/>
      <c r="N71"/>
      <c r="O71"/>
      <c r="P71"/>
      <c r="Q71"/>
      <c r="R71"/>
      <c r="S71"/>
    </row>
    <row r="72" spans="1:19" x14ac:dyDescent="0.25">
      <c r="A72" s="50" t="s">
        <v>10</v>
      </c>
      <c r="B72" s="50"/>
      <c r="C72" s="50"/>
      <c r="D72" s="50"/>
      <c r="E72" s="50"/>
      <c r="F72" s="50"/>
      <c r="G72" s="50"/>
      <c r="H72" s="50"/>
      <c r="I72" s="50"/>
      <c r="J72" s="50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1278-6C6D-4D35-9507-745531C1436B}">
  <sheetPr>
    <pageSetUpPr fitToPage="1"/>
  </sheetPr>
  <dimension ref="A1:AB208"/>
  <sheetViews>
    <sheetView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25" sqref="J2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2"/>
      <c r="U1" s="2"/>
      <c r="V1" s="2"/>
      <c r="W1" s="2"/>
      <c r="X1" s="2"/>
    </row>
    <row r="2" spans="1:28" s="3" customFormat="1" ht="15.75" x14ac:dyDescent="0.25"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2"/>
      <c r="U2" s="2"/>
      <c r="V2" s="2"/>
      <c r="W2" s="2"/>
      <c r="X2" s="2"/>
    </row>
    <row r="3" spans="1:28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8" s="3" customFormat="1" ht="18" x14ac:dyDescent="0.25">
      <c r="B4" s="37"/>
      <c r="C4" s="37"/>
      <c r="D4" s="37"/>
      <c r="E4" s="37"/>
      <c r="F4" s="37"/>
      <c r="G4" s="3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8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8" s="10" customFormat="1" ht="15" customHeight="1" x14ac:dyDescent="0.25">
      <c r="A6" s="47" t="s">
        <v>14</v>
      </c>
      <c r="B6" s="47"/>
      <c r="C6" s="47"/>
      <c r="D6" s="47"/>
      <c r="E6" s="47"/>
      <c r="F6" s="47"/>
      <c r="G6" s="47"/>
      <c r="H6" s="47"/>
      <c r="I6" s="47"/>
      <c r="J6" s="47"/>
      <c r="K6" s="30"/>
      <c r="L6" s="30"/>
      <c r="M6" s="30"/>
      <c r="N6" s="30"/>
      <c r="O6" s="30"/>
      <c r="P6" s="30"/>
      <c r="Q6" s="30"/>
      <c r="R6" s="30"/>
      <c r="S6" s="30"/>
      <c r="T6" s="29"/>
      <c r="U6" s="29"/>
    </row>
    <row r="7" spans="1:28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8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8" s="13" customFormat="1" ht="12.75" x14ac:dyDescent="0.2">
      <c r="B9" s="43"/>
      <c r="C9" s="43"/>
      <c r="D9" s="43"/>
      <c r="E9" s="43"/>
      <c r="F9" s="43"/>
      <c r="G9" s="43"/>
    </row>
    <row r="10" spans="1:28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8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x14ac:dyDescent="0.25">
      <c r="A13" s="20">
        <v>45018</v>
      </c>
      <c r="B13" s="20"/>
      <c r="C13" s="21">
        <v>465230.36999999994</v>
      </c>
      <c r="F13" s="23">
        <v>5398.1599999999962</v>
      </c>
      <c r="G13"/>
      <c r="H13"/>
      <c r="I13"/>
      <c r="L13" s="21"/>
      <c r="M13" s="21"/>
      <c r="N13"/>
      <c r="O13"/>
      <c r="P13"/>
      <c r="Q13"/>
      <c r="R13"/>
      <c r="S13"/>
    </row>
    <row r="14" spans="1:28" x14ac:dyDescent="0.25">
      <c r="A14" s="20">
        <f t="shared" ref="A14:A64" si="0">A13+7</f>
        <v>45025</v>
      </c>
      <c r="B14" s="20"/>
      <c r="C14" s="21">
        <v>408766.25</v>
      </c>
      <c r="F14" s="23">
        <v>13650.769999999982</v>
      </c>
      <c r="G14"/>
      <c r="H14"/>
      <c r="I14"/>
      <c r="L14" s="21"/>
      <c r="M14" s="21"/>
      <c r="N14"/>
      <c r="O14"/>
      <c r="P14"/>
      <c r="Q14"/>
      <c r="R14"/>
      <c r="S14"/>
    </row>
    <row r="15" spans="1:28" x14ac:dyDescent="0.25">
      <c r="A15" s="20">
        <f t="shared" si="0"/>
        <v>45032</v>
      </c>
      <c r="B15" s="20"/>
      <c r="C15" s="21">
        <v>375017.18</v>
      </c>
      <c r="F15" s="23">
        <v>51349.830000000009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20">
        <f t="shared" si="0"/>
        <v>45039</v>
      </c>
      <c r="B16" s="20"/>
      <c r="C16" s="21">
        <v>739544.17</v>
      </c>
      <c r="F16" s="23">
        <v>-29335.850000000006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614306.5</v>
      </c>
      <c r="F17" s="23">
        <v>33316.090000000004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589411.02</v>
      </c>
      <c r="F18" s="23">
        <v>31300.33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536592.79</v>
      </c>
      <c r="F19" s="23">
        <v>40400.839999999982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410125.85000000003</v>
      </c>
      <c r="F20" s="23">
        <v>15215.439999999988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499743.24999999994</v>
      </c>
      <c r="F21" s="23">
        <v>56187.83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430262.52</v>
      </c>
      <c r="F22" s="23">
        <v>36564.839999999997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294842.47999999992</v>
      </c>
      <c r="F23" s="23">
        <v>41247.78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235008</v>
      </c>
      <c r="F24" s="23">
        <v>20784.230000000018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123980.48000000001</v>
      </c>
      <c r="F25" s="23">
        <v>297.46000000000458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0</v>
      </c>
      <c r="F26" s="23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0</v>
      </c>
      <c r="F27" s="23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0</v>
      </c>
      <c r="F28" s="23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0</v>
      </c>
      <c r="F29" s="23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0</v>
      </c>
      <c r="F30" s="23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0</v>
      </c>
      <c r="F31" s="23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0</v>
      </c>
      <c r="F32" s="23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0</v>
      </c>
      <c r="F33" s="23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0</v>
      </c>
      <c r="F34" s="23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0</v>
      </c>
      <c r="F35" s="23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0</v>
      </c>
      <c r="F36" s="23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0</v>
      </c>
      <c r="F37" s="23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0</v>
      </c>
      <c r="F38" s="23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0</v>
      </c>
      <c r="F39" s="23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0</v>
      </c>
      <c r="F40" s="23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0</v>
      </c>
      <c r="F41" s="23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0</v>
      </c>
      <c r="F42" s="23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0</v>
      </c>
      <c r="F43" s="23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0</v>
      </c>
      <c r="F44" s="23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0</v>
      </c>
      <c r="F45" s="23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1763483.05</v>
      </c>
      <c r="F46" s="23">
        <v>53977.51999999999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1839379.62</v>
      </c>
      <c r="F47" s="23">
        <v>85285.479999999952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1481722.71</v>
      </c>
      <c r="F48" s="23">
        <v>144630.92000000001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1502989.81</v>
      </c>
      <c r="F49" s="23">
        <v>123176.35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1326685.1199999999</v>
      </c>
      <c r="F50" s="23">
        <v>-691529.34000000008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1198456.4100000001</v>
      </c>
      <c r="F51" s="23">
        <v>132926.15000000002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1762331.73</v>
      </c>
      <c r="F52" s="23">
        <v>133262.38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1290540.8900000001</v>
      </c>
      <c r="F53" s="23">
        <v>48853.720000000016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1593736.0500000003</v>
      </c>
      <c r="F54" s="23">
        <v>224413.16999999998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2230583.9300000002</v>
      </c>
      <c r="F55" s="23">
        <v>35542.889999999898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3115882.34</v>
      </c>
      <c r="F56" s="23">
        <v>29325.340000000084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2929485.32</v>
      </c>
      <c r="F57" s="23">
        <v>199034.86000000004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2143074.5099999998</v>
      </c>
      <c r="F58" s="23">
        <v>202218.19000000006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2515756.7800000003</v>
      </c>
      <c r="F59" s="23">
        <v>168129.01000000007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1952541.3499999999</v>
      </c>
      <c r="F60" s="23">
        <v>159199.12999999989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2464448.96</v>
      </c>
      <c r="F61" s="23">
        <v>112516.08000000002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1764992.19</v>
      </c>
      <c r="F62" s="23">
        <v>-10719.940000000002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2710159.59</v>
      </c>
      <c r="F63" s="23">
        <v>127955.33000000002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2415374.7999999998</v>
      </c>
      <c r="F64" s="23">
        <v>74746.270000000106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43724456.019999996</v>
      </c>
      <c r="D67" s="31"/>
      <c r="E67" s="31"/>
      <c r="F67" s="42">
        <f>SUM(F13:F66)</f>
        <v>1669321.2600000002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9" t="s">
        <v>11</v>
      </c>
      <c r="B71" s="49"/>
      <c r="C71" s="49"/>
      <c r="D71" s="49"/>
      <c r="E71" s="49"/>
      <c r="F71" s="49"/>
      <c r="G71" s="49"/>
      <c r="H71" s="49"/>
      <c r="I71" s="49"/>
      <c r="J71" s="49"/>
      <c r="K71"/>
      <c r="L71"/>
      <c r="M71"/>
      <c r="N71"/>
      <c r="O71"/>
      <c r="P71"/>
      <c r="Q71"/>
      <c r="R71"/>
      <c r="S71"/>
    </row>
    <row r="72" spans="1:19" x14ac:dyDescent="0.25">
      <c r="A72" s="50" t="s">
        <v>10</v>
      </c>
      <c r="B72" s="50"/>
      <c r="C72" s="50"/>
      <c r="D72" s="50"/>
      <c r="E72" s="50"/>
      <c r="F72" s="50"/>
      <c r="G72" s="50"/>
      <c r="H72" s="50"/>
      <c r="I72" s="50"/>
      <c r="J72" s="50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F25">
    <cfRule type="cellIs" dxfId="4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EC87-CEA8-4CD8-9D74-0A5365728732}">
  <sheetPr>
    <pageSetUpPr fitToPage="1"/>
  </sheetPr>
  <dimension ref="A1:AB208"/>
  <sheetViews>
    <sheetView zoomScaleNormal="100" workbookViewId="0">
      <pane xSplit="2" ySplit="12" topLeftCell="C78" activePane="bottomRight" state="frozen"/>
      <selection activeCell="B33" sqref="B33"/>
      <selection pane="topRight" activeCell="B33" sqref="B33"/>
      <selection pane="bottomLeft" activeCell="B33" sqref="B33"/>
      <selection pane="bottomRight" activeCell="C66" sqref="C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2"/>
      <c r="U1" s="2"/>
      <c r="V1" s="2"/>
      <c r="W1" s="2"/>
      <c r="X1" s="2"/>
    </row>
    <row r="2" spans="1:28" s="3" customFormat="1" ht="15.75" x14ac:dyDescent="0.25"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2"/>
      <c r="U2" s="2"/>
      <c r="V2" s="2"/>
      <c r="W2" s="2"/>
      <c r="X2" s="2"/>
    </row>
    <row r="3" spans="1:28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8" s="3" customFormat="1" ht="18" x14ac:dyDescent="0.25">
      <c r="B4" s="37"/>
      <c r="C4" s="37"/>
      <c r="D4" s="37"/>
      <c r="E4" s="37"/>
      <c r="F4" s="37"/>
      <c r="G4" s="3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8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8" s="10" customFormat="1" ht="15" customHeight="1" x14ac:dyDescent="0.25">
      <c r="A6" s="47" t="s">
        <v>12</v>
      </c>
      <c r="B6" s="47"/>
      <c r="C6" s="47"/>
      <c r="D6" s="47"/>
      <c r="E6" s="47"/>
      <c r="F6" s="47"/>
      <c r="G6" s="47"/>
      <c r="H6" s="47"/>
      <c r="I6" s="47"/>
      <c r="J6" s="47"/>
      <c r="K6" s="30"/>
      <c r="L6" s="30"/>
      <c r="M6" s="30"/>
      <c r="N6" s="30"/>
      <c r="O6" s="30"/>
      <c r="P6" s="30"/>
      <c r="Q6" s="30"/>
      <c r="R6" s="30"/>
      <c r="S6" s="30"/>
      <c r="T6" s="29"/>
      <c r="U6" s="29"/>
    </row>
    <row r="7" spans="1:28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8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8" s="13" customFormat="1" ht="12.75" x14ac:dyDescent="0.2">
      <c r="B9" s="39"/>
      <c r="C9" s="39"/>
      <c r="D9" s="40"/>
      <c r="E9" s="39"/>
      <c r="F9" s="39"/>
      <c r="G9" s="39"/>
    </row>
    <row r="10" spans="1:28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8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x14ac:dyDescent="0.25">
      <c r="A13" s="20">
        <v>44654</v>
      </c>
      <c r="B13" s="20"/>
      <c r="G13"/>
      <c r="H13"/>
      <c r="I13"/>
      <c r="L13" s="21"/>
      <c r="M13" s="21"/>
      <c r="N13"/>
      <c r="O13"/>
      <c r="P13"/>
      <c r="Q13"/>
      <c r="R13"/>
      <c r="S13"/>
    </row>
    <row r="14" spans="1:28" x14ac:dyDescent="0.25">
      <c r="A14" s="20">
        <f t="shared" ref="A14:A64" si="0">A13+7</f>
        <v>44661</v>
      </c>
      <c r="B14" s="20"/>
      <c r="F14" s="21">
        <v>0</v>
      </c>
      <c r="G14"/>
      <c r="H14"/>
      <c r="I14"/>
      <c r="L14" s="21"/>
      <c r="M14" s="21"/>
      <c r="N14"/>
      <c r="O14"/>
      <c r="P14"/>
      <c r="Q14"/>
      <c r="R14"/>
      <c r="S14"/>
    </row>
    <row r="15" spans="1:28" x14ac:dyDescent="0.25">
      <c r="A15" s="20">
        <f t="shared" si="0"/>
        <v>44668</v>
      </c>
      <c r="B15" s="20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20">
        <f t="shared" si="0"/>
        <v>44675</v>
      </c>
      <c r="B16" s="20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67940.799999999988</v>
      </c>
      <c r="F27" s="21">
        <v>17052.21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243438.28000000003</v>
      </c>
      <c r="F28" s="23">
        <v>-19141.709999999995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124824.6</v>
      </c>
      <c r="F29" s="23">
        <v>32050.420000000006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204193.71</v>
      </c>
      <c r="F30" s="23">
        <v>10119.349999999993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213786.62</v>
      </c>
      <c r="F31" s="23">
        <v>8120.7699999999904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217708.86</v>
      </c>
      <c r="F32" s="23">
        <v>9700.34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262041.46999999994</v>
      </c>
      <c r="F33" s="23">
        <v>30289.549999999996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195045.19</v>
      </c>
      <c r="F34" s="23">
        <v>35918.06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369662.95</v>
      </c>
      <c r="F35" s="23">
        <v>34600.740000000013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232563.6</v>
      </c>
      <c r="F36" s="23">
        <v>31216.309999999983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334446.32</v>
      </c>
      <c r="F37" s="23">
        <v>5405.8600000000006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225523.16000000003</v>
      </c>
      <c r="F38" s="23">
        <v>7915.739999999998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450100.22</v>
      </c>
      <c r="F39" s="23">
        <v>20779.260000000009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368044.64</v>
      </c>
      <c r="F40" s="23">
        <v>16561.599999999988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287278.07</v>
      </c>
      <c r="F41" s="23">
        <v>-15448.730000000007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297235.26</v>
      </c>
      <c r="F42" s="23">
        <v>-880.72000000000844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276661.60000000003</v>
      </c>
      <c r="F43" s="23">
        <v>21920.1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233378.9</v>
      </c>
      <c r="F44" s="23">
        <v>29236.11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183012.36</v>
      </c>
      <c r="F45" s="23">
        <v>-5517.9000000000096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122993.8</v>
      </c>
      <c r="F46" s="23">
        <v>15078.05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121256.92</v>
      </c>
      <c r="F47" s="23">
        <v>2894.8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115044.12</v>
      </c>
      <c r="F48" s="23">
        <v>11336.46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154826.78000000003</v>
      </c>
      <c r="F49" s="23">
        <v>14051.130000000001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155403.79</v>
      </c>
      <c r="D50" s="21">
        <v>0</v>
      </c>
      <c r="E50" s="21">
        <v>0</v>
      </c>
      <c r="F50" s="23">
        <v>3914.880000000001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190673</v>
      </c>
      <c r="F51" s="23">
        <v>-546.73999999999978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193596.63</v>
      </c>
      <c r="F52" s="23">
        <v>5188.1699999999983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191142.81</v>
      </c>
      <c r="F53" s="23">
        <v>7245.0099999999966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200756.31</v>
      </c>
      <c r="F54" s="23">
        <v>-705.16000000000702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237185.64</v>
      </c>
      <c r="F55" s="23">
        <v>54925.07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246255.42</v>
      </c>
      <c r="F56" s="23">
        <v>29945.989999999994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183862.56</v>
      </c>
      <c r="F57" s="23">
        <v>18981.010000000002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185750.34999999998</v>
      </c>
      <c r="F58" s="23">
        <v>15044.360000000002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262633.98</v>
      </c>
      <c r="F59" s="23">
        <v>25234.76999999999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434486.86</v>
      </c>
      <c r="F60" s="23">
        <v>-16366.4899999999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698667.39</v>
      </c>
      <c r="F61" s="23">
        <v>-10933.990000000013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838391</v>
      </c>
      <c r="F62" s="23">
        <v>134410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636909.27</v>
      </c>
      <c r="F63" s="23">
        <v>7764.1299999999756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691369.85000000009</v>
      </c>
      <c r="F64" s="23">
        <v>13931.949999999997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4">
        <f>SUM(C27:C65)</f>
        <v>10648093.089999998</v>
      </c>
      <c r="D66" s="31"/>
      <c r="E66" s="31"/>
      <c r="F66" s="42">
        <f>SUM(F27:F65)</f>
        <v>601290.76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5"/>
      <c r="D67" s="25"/>
      <c r="E67" s="25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6" t="s">
        <v>5</v>
      </c>
      <c r="B68" s="26"/>
      <c r="C68" s="25"/>
      <c r="D68" s="25"/>
      <c r="E68" s="25"/>
      <c r="F68" s="25"/>
      <c r="G68" s="25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49" t="s">
        <v>9</v>
      </c>
      <c r="B69" s="49"/>
      <c r="C69" s="49"/>
      <c r="D69" s="49"/>
      <c r="E69" s="49"/>
      <c r="F69" s="49"/>
      <c r="G69" s="49"/>
      <c r="H69" s="49"/>
      <c r="I69" s="49"/>
      <c r="J69" s="49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49" t="s">
        <v>11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1" t="s">
        <v>13</v>
      </c>
      <c r="K71"/>
      <c r="L71"/>
      <c r="M71"/>
      <c r="N71"/>
      <c r="O71"/>
      <c r="P71"/>
      <c r="Q71"/>
      <c r="R71"/>
      <c r="S71"/>
    </row>
    <row r="72" spans="1:19" x14ac:dyDescent="0.25">
      <c r="A72" s="50" t="s">
        <v>10</v>
      </c>
      <c r="B72" s="50"/>
      <c r="C72" s="50"/>
      <c r="D72" s="50"/>
      <c r="E72" s="50"/>
      <c r="F72" s="50"/>
      <c r="G72" s="50"/>
      <c r="H72" s="50"/>
      <c r="I72" s="50"/>
      <c r="J72" s="50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9:J69"/>
    <mergeCell ref="A70:J70"/>
    <mergeCell ref="A72:J72"/>
    <mergeCell ref="A6:J6"/>
    <mergeCell ref="B8:G8"/>
  </mergeCells>
  <conditionalFormatting sqref="C13:E13 F13:F16 E14:E16 C14:D35 E17:F28 E29:E35">
    <cfRule type="cellIs" dxfId="3" priority="11" operator="equal">
      <formula>0</formula>
    </cfRule>
  </conditionalFormatting>
  <conditionalFormatting sqref="C36:E64">
    <cfRule type="cellIs" dxfId="2" priority="5" operator="equal">
      <formula>0</formula>
    </cfRule>
  </conditionalFormatting>
  <conditionalFormatting sqref="F29:F64">
    <cfRule type="cellIs" dxfId="1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AA171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A13" sqref="A13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8.7109375" style="21" customWidth="1"/>
    <col min="4" max="4" width="12.85546875" style="21" bestFit="1" customWidth="1"/>
    <col min="5" max="5" width="8.710937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7" ht="15.75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2"/>
      <c r="T1" s="2"/>
      <c r="U1" s="2"/>
      <c r="V1" s="2"/>
      <c r="W1" s="2"/>
    </row>
    <row r="2" spans="1:27" s="3" customFormat="1" ht="15.75" x14ac:dyDescent="0.25"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2"/>
      <c r="T2" s="2"/>
      <c r="U2" s="2"/>
      <c r="V2" s="2"/>
      <c r="W2" s="2"/>
    </row>
    <row r="3" spans="1:27" s="3" customFormat="1" ht="14.25" customHeight="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4"/>
      <c r="T3" s="4"/>
      <c r="U3" s="4"/>
      <c r="V3" s="4"/>
      <c r="W3" s="4"/>
    </row>
    <row r="4" spans="1:27" s="3" customFormat="1" ht="18" x14ac:dyDescent="0.25">
      <c r="A4" s="37"/>
      <c r="B4" s="37"/>
      <c r="C4" s="37"/>
      <c r="D4" s="37"/>
      <c r="E4" s="3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7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7" s="10" customFormat="1" ht="15" customHeight="1" x14ac:dyDescent="0.25">
      <c r="A6" s="51" t="s">
        <v>8</v>
      </c>
      <c r="B6" s="47"/>
      <c r="C6" s="47"/>
      <c r="D6" s="47"/>
      <c r="E6" s="47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29"/>
      <c r="T6" s="29"/>
    </row>
    <row r="7" spans="1:27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7" s="13" customFormat="1" ht="25.5" customHeight="1" x14ac:dyDescent="0.2">
      <c r="A8" s="48" t="s">
        <v>7</v>
      </c>
      <c r="B8" s="48"/>
      <c r="C8" s="48"/>
      <c r="D8" s="48"/>
      <c r="E8" s="48"/>
    </row>
    <row r="9" spans="1:27" s="13" customFormat="1" ht="12" customHeight="1" x14ac:dyDescent="0.2">
      <c r="A9" s="38"/>
      <c r="B9" s="38"/>
      <c r="C9" s="38"/>
      <c r="D9" s="38"/>
      <c r="E9" s="38"/>
    </row>
    <row r="10" spans="1:27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7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33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spans="1:27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33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spans="1:27" x14ac:dyDescent="0.25">
      <c r="A13" s="20">
        <v>44570</v>
      </c>
      <c r="E13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spans="1:27" x14ac:dyDescent="0.25">
      <c r="A14" s="20">
        <f t="shared" ref="A14:A28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7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7" x14ac:dyDescent="0.2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25">
      <c r="A25" s="20">
        <f t="shared" si="0"/>
        <v>44654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25">
      <c r="A26" s="20">
        <f t="shared" si="0"/>
        <v>44661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5">
      <c r="A27" s="20">
        <f t="shared" si="0"/>
        <v>44668</v>
      </c>
      <c r="D27" s="23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25">
      <c r="A28" s="20">
        <f t="shared" si="0"/>
        <v>44675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15.75" thickBot="1" x14ac:dyDescent="0.3">
      <c r="A29" s="6" t="s">
        <v>1</v>
      </c>
      <c r="B29" s="24">
        <f>SUM(B13:B28)</f>
        <v>0</v>
      </c>
      <c r="C29" s="31"/>
      <c r="D29" s="24">
        <f>SUM(D13:D28)</f>
        <v>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15.75" thickTop="1" x14ac:dyDescent="0.25">
      <c r="B30" s="25"/>
      <c r="C30" s="25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A31" s="26" t="s">
        <v>5</v>
      </c>
      <c r="B31" s="25"/>
      <c r="C31" s="25"/>
      <c r="D31" s="25"/>
      <c r="E31" s="25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ht="53.25" customHeight="1" x14ac:dyDescent="0.25">
      <c r="A32" s="49" t="s">
        <v>9</v>
      </c>
      <c r="B32" s="49"/>
      <c r="C32" s="49"/>
      <c r="D32" s="49"/>
      <c r="E32" s="49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ht="26.25" customHeight="1" x14ac:dyDescent="0.25">
      <c r="A33" s="49" t="s">
        <v>11</v>
      </c>
      <c r="B33" s="49"/>
      <c r="C33" s="49"/>
      <c r="D33" s="49"/>
      <c r="E33" s="49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ht="31.5" customHeight="1" x14ac:dyDescent="0.25">
      <c r="A34" s="50" t="s">
        <v>10</v>
      </c>
      <c r="B34" s="50"/>
      <c r="C34" s="50"/>
      <c r="D34" s="50"/>
      <c r="E34" s="50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25">
      <c r="E47" s="22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25">
      <c r="E48" s="22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5:18" x14ac:dyDescent="0.25">
      <c r="E49" s="22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5:18" x14ac:dyDescent="0.25">
      <c r="E50" s="22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5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5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5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5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5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5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5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5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5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5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5:18" x14ac:dyDescent="0.25"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5:18" x14ac:dyDescent="0.25"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5:18" x14ac:dyDescent="0.25"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5:18" x14ac:dyDescent="0.25"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20" x14ac:dyDescent="0.25">
      <c r="F65" s="25"/>
      <c r="G65" s="22"/>
      <c r="K65"/>
      <c r="L65"/>
      <c r="M65"/>
      <c r="N65"/>
      <c r="O65"/>
      <c r="P65"/>
      <c r="Q65"/>
      <c r="R65"/>
    </row>
    <row r="66" spans="1:20" x14ac:dyDescent="0.25">
      <c r="F66" s="25"/>
      <c r="G66" s="22"/>
      <c r="K66"/>
      <c r="L66"/>
      <c r="M66"/>
      <c r="N66"/>
      <c r="O66"/>
      <c r="P66"/>
      <c r="Q66"/>
      <c r="R66"/>
    </row>
    <row r="67" spans="1:20" s="25" customFormat="1" x14ac:dyDescent="0.25">
      <c r="A67" s="6"/>
      <c r="B67" s="21"/>
      <c r="C67" s="21"/>
      <c r="D67" s="21"/>
      <c r="E67" s="21"/>
      <c r="F67" s="21"/>
      <c r="G67" s="21"/>
      <c r="H67" s="22"/>
      <c r="I67" s="21"/>
      <c r="J67" s="21"/>
      <c r="L67" s="22"/>
      <c r="M67" s="21"/>
      <c r="N67" s="21"/>
      <c r="O67" s="21"/>
      <c r="P67" s="21"/>
      <c r="Q67" s="21"/>
      <c r="R67" s="21"/>
    </row>
    <row r="68" spans="1:20" s="25" customFormat="1" x14ac:dyDescent="0.25">
      <c r="A68" s="6"/>
      <c r="B68" s="21"/>
      <c r="C68" s="21"/>
      <c r="D68" s="21"/>
      <c r="E68" s="21"/>
      <c r="F68" s="27"/>
      <c r="G68" s="27"/>
      <c r="H68" s="28"/>
      <c r="I68" s="27"/>
      <c r="J68" s="27"/>
      <c r="L68" s="22"/>
      <c r="M68" s="21"/>
      <c r="N68" s="21"/>
      <c r="O68" s="21"/>
      <c r="P68" s="21"/>
      <c r="Q68" s="21"/>
      <c r="R68" s="21"/>
    </row>
    <row r="69" spans="1:20" x14ac:dyDescent="0.25">
      <c r="G69" s="22"/>
      <c r="K69" s="21"/>
      <c r="L69" s="21"/>
      <c r="S69" s="21"/>
      <c r="T69" s="21"/>
    </row>
    <row r="70" spans="1:20" x14ac:dyDescent="0.25">
      <c r="G70" s="22"/>
      <c r="K70" s="27"/>
      <c r="L70" s="27"/>
      <c r="M70" s="27"/>
      <c r="N70" s="27"/>
      <c r="O70" s="27"/>
      <c r="P70" s="27"/>
      <c r="Q70" s="27"/>
      <c r="S70" s="21"/>
      <c r="T70" s="21"/>
    </row>
    <row r="71" spans="1:20" x14ac:dyDescent="0.25">
      <c r="G71" s="22"/>
    </row>
    <row r="72" spans="1:20" x14ac:dyDescent="0.25">
      <c r="G72" s="22"/>
    </row>
    <row r="73" spans="1:20" x14ac:dyDescent="0.25">
      <c r="G73" s="22"/>
    </row>
    <row r="74" spans="1:20" x14ac:dyDescent="0.25">
      <c r="G74" s="22"/>
    </row>
    <row r="75" spans="1:20" x14ac:dyDescent="0.25">
      <c r="G75" s="22"/>
    </row>
    <row r="76" spans="1:20" x14ac:dyDescent="0.25">
      <c r="G76" s="22"/>
    </row>
    <row r="77" spans="1:20" x14ac:dyDescent="0.25">
      <c r="G77" s="22"/>
    </row>
    <row r="78" spans="1:20" x14ac:dyDescent="0.25">
      <c r="G78" s="22"/>
    </row>
    <row r="79" spans="1:20" x14ac:dyDescent="0.25">
      <c r="G79" s="22"/>
    </row>
    <row r="80" spans="1:20" x14ac:dyDescent="0.25">
      <c r="G80" s="22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G166" s="22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G167" s="22"/>
      <c r="K167" s="22"/>
      <c r="L167" s="22"/>
      <c r="S167"/>
      <c r="T167"/>
      <c r="U167"/>
      <c r="V167"/>
      <c r="W167"/>
    </row>
    <row r="168" spans="1:23" s="21" customFormat="1" x14ac:dyDescent="0.25">
      <c r="A168" s="6"/>
      <c r="G168" s="22"/>
      <c r="K168" s="22"/>
      <c r="L168" s="22"/>
      <c r="S168"/>
      <c r="T168"/>
      <c r="U168"/>
      <c r="V168"/>
      <c r="W168"/>
    </row>
    <row r="169" spans="1:23" s="21" customFormat="1" x14ac:dyDescent="0.25">
      <c r="A169" s="6"/>
      <c r="G169" s="22"/>
      <c r="K169" s="22"/>
      <c r="L169" s="22"/>
      <c r="S169"/>
      <c r="T169"/>
      <c r="U169"/>
      <c r="V169"/>
      <c r="W169"/>
    </row>
    <row r="170" spans="1:23" s="21" customFormat="1" x14ac:dyDescent="0.25">
      <c r="A170" s="6"/>
      <c r="K170" s="22"/>
      <c r="L170" s="22"/>
      <c r="S170"/>
      <c r="T170"/>
      <c r="U170"/>
      <c r="V170"/>
      <c r="W170"/>
    </row>
    <row r="171" spans="1:23" s="21" customFormat="1" x14ac:dyDescent="0.25">
      <c r="A171" s="6"/>
      <c r="K171" s="22"/>
      <c r="L171" s="22"/>
      <c r="S171"/>
      <c r="T171"/>
      <c r="U171"/>
      <c r="V171"/>
      <c r="W171"/>
    </row>
  </sheetData>
  <mergeCells count="5">
    <mergeCell ref="A8:E8"/>
    <mergeCell ref="A32:E32"/>
    <mergeCell ref="A34:E34"/>
    <mergeCell ref="A6:E6"/>
    <mergeCell ref="A33:E33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2025-11-19T16:37:57Z</cp:lastPrinted>
  <dcterms:created xsi:type="dcterms:W3CDTF">2022-01-10T16:49:23Z</dcterms:created>
  <dcterms:modified xsi:type="dcterms:W3CDTF">2026-07-15T17:21:44Z</dcterms:modified>
</cp:coreProperties>
</file>