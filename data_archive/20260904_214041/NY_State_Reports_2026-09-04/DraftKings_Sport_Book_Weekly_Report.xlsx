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EA086AF6-E778-46AA-9413-DE42D313EEF9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22-23'!$A$1:$K$72</definedName>
    <definedName name="_xlnm.Print_Area" localSheetId="3">'FY 23-24'!$A$1:$K$73</definedName>
    <definedName name="_xlnm.Print_Area" localSheetId="2">'FY 24-25'!$A$1:$K$73</definedName>
    <definedName name="_xlnm.Print_Area" localSheetId="1">'FY 25-26'!$A$1:$K$73</definedName>
    <definedName name="_xlnm.Print_Area" localSheetId="0">'FY 26-27'!$A$1:$K$73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<sst xmlns="http://schemas.openxmlformats.org/spreadsheetml/2006/main" count="85" uniqueCount="18">
  <si>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</si>
  <si>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</si>
  <si>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</si>
  <si>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</si>
  <si>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</si>
  <si>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</si>
  <si>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</si>
  <si>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</si>
  <si>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</si>
  <si>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</si>
  <si>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 xml:space="preserve">2) Mobile Sports Wagering Gross Gaming Revenue (GGR) is taxed at 51%. </t>
  </si>
  <si>
    <t>3) DraftKings Sportsbook began operating in NY on 1/8/22.</t>
  </si>
  <si>
    <t>Report compiled by the New York State Gaming Commission based on data provided by DraftKings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</si>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</sst>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F4430-CD10-4252-AC61-2EBCA3A6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9EF17-C4F0-4677-9D98-BAC67D15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F68CD-805C-42CA-8879-1AD36640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FB6BD-4D00-4B45-B0A5-B6BA393F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533E3-9AEA-49CC-B10C-77B491CB1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95251</xdr:rowOff>
    </xdr:from>
    <xdr:to>
      <xdr:col>2</xdr:col>
      <xdr:colOff>38100</xdr:colOff>
      <xdr:row>3</xdr:row>
      <xdr:rowOff>209551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1ADD1-16D3-4800-A636-0F2FCDC9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95276"/>
          <a:ext cx="180975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CA91-8CD8-4206-ACB0-D4E2549C56AE}">
  <sheetPr>
    <pageSetUpPr fitToPage="1"/>
  </sheetPr>
  <dimension ref="A1:X208"/>
  <sheetViews>
    <sheetView tabSelected="1" zoomScaleNormal="100" workbookViewId="0">
      <pane xSplit="2" ySplit="12" topLeftCell="C25" activePane="bottomRight" state="frozen"/>
      <selection activeCell="B33" sqref="B33"/>
      <selection pane="topRight" activeCell="B33" sqref="B33"/>
      <selection pane="bottomLeft" activeCell="B33" sqref="B33"/>
      <selection pane="bottomRight" activeCell="F35" sqref="F3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17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157270301.22</v>
      </c>
      <c r="F13" s="33">
        <v>14983676.999999989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174358281.92000002</v>
      </c>
      <c r="F14" s="33">
        <v>19094033.500000007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168329345.93000001</v>
      </c>
      <c r="F15" s="33">
        <v>16797597.599999994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166699670.18000001</v>
      </c>
      <c r="F16" s="33">
        <v>17522883.170000009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175398862.28</v>
      </c>
      <c r="F17" s="33">
        <v>20911447.289999999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166657914.09</v>
      </c>
      <c r="F18" s="33">
        <v>14003269.719999997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175326558.13</v>
      </c>
      <c r="F19" s="33">
        <v>26097532.040000007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139239241.99000001</v>
      </c>
      <c r="F20" s="33">
        <v>16119441.869999986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156831589.41999999</v>
      </c>
      <c r="F21" s="33">
        <v>14439615.649999997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158247051.71000001</v>
      </c>
      <c r="F22" s="33">
        <v>8852004.0300000049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152258053.63000003</v>
      </c>
      <c r="F23" s="33">
        <v>9252699.1900000088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195613213.95000002</v>
      </c>
      <c r="F24" s="33">
        <v>-14033670.478700016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196191526.97999999</v>
      </c>
      <c r="F25" s="33">
        <v>15707055.972899992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187265339.63999999</v>
      </c>
      <c r="F26" s="33">
        <v>20773684.884400003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198331851.16000003</v>
      </c>
      <c r="F27" s="33">
        <v>13762041.869999994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165737601.04000002</v>
      </c>
      <c r="F28" s="33">
        <v>23467231.063799992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139807491.63</v>
      </c>
      <c r="F29" s="33">
        <v>23125849.47000001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121558881.38</v>
      </c>
      <c r="F30" s="33">
        <v>8980473.9399999939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130246036.2</v>
      </c>
      <c r="F31" s="33">
        <v>16204919.896200005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125731437.53999999</v>
      </c>
      <c r="F32" s="33">
        <v>11195806.959999999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139804781.82999998</v>
      </c>
      <c r="F33" s="33">
        <v>14936413.760000002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137507207.47999999</v>
      </c>
      <c r="F34" s="33">
        <v>10643450.92999999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149527599.69</v>
      </c>
      <c r="F35" s="33">
        <v>12079306.099999983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3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3677939839.02</v>
      </c>
      <c r="F67" s="23">
        <f>SUM(F13:F66)</f>
        <v>334916765.42859989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1E3F-1DF3-432B-959D-2C8624018036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16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177814590.40000001</v>
      </c>
      <c r="F13" s="21">
        <v>1183700.8400020041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189008182.21999997</v>
      </c>
      <c r="F14" s="21">
        <v>16535700.970003005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163514962.15000001</v>
      </c>
      <c r="F15" s="21">
        <v>15025126.95989299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150472293.15000001</v>
      </c>
      <c r="F16" s="21">
        <v>10555443.520026002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181268409.34999999</v>
      </c>
      <c r="F17" s="21">
        <v>20517123.640008006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163907213.20999998</v>
      </c>
      <c r="F18" s="21">
        <v>15335369.51000501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172955864.88999999</v>
      </c>
      <c r="F19" s="21">
        <v>16187739.260003997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176164717.42999998</v>
      </c>
      <c r="F20" s="21">
        <v>16100825.379997995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179179439.64999998</v>
      </c>
      <c r="F21" s="21">
        <v>21469702.929986008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187561645</v>
      </c>
      <c r="F22" s="21">
        <v>23796143.079996005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146286815.37</v>
      </c>
      <c r="F23" s="21">
        <v>18977139.340000004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142598473.59999999</v>
      </c>
      <c r="F24" s="21">
        <v>19737863.220010996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145538448.72</v>
      </c>
      <c r="F25" s="21">
        <v>15542157.409998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129157984.65000001</v>
      </c>
      <c r="F26" s="21">
        <v>10378327.400001992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133733445.71000001</v>
      </c>
      <c r="F27" s="21">
        <v>13543925.440001003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122657720.96000001</v>
      </c>
      <c r="F28" s="21">
        <v>12577332.039999997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100489018.08000001</v>
      </c>
      <c r="F29" s="21">
        <v>8622704.460002007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114221926.89</v>
      </c>
      <c r="F30" s="21">
        <v>12404711.449988991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110289409.14</v>
      </c>
      <c r="F31" s="21">
        <v>14358078.730005996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105277538.56</v>
      </c>
      <c r="F32" s="21">
        <v>11386414.330004003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122438986.39999999</v>
      </c>
      <c r="F33" s="21">
        <v>10851246.57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132593559.10000001</v>
      </c>
      <c r="F34" s="21">
        <v>15495577.790000007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166340670.63</v>
      </c>
      <c r="F35" s="21">
        <v>19963957.870000001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205254442.90999997</v>
      </c>
      <c r="F36" s="21">
        <v>4469721.9499999974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202367321.11000001</v>
      </c>
      <c r="F37" s="21">
        <v>20142993.969999991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219813405.71999997</v>
      </c>
      <c r="F38" s="21">
        <v>22443025.599999987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200288091.82000002</v>
      </c>
      <c r="F39" s="21">
        <v>23200970.969999991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212047993.73000002</v>
      </c>
      <c r="F40" s="21">
        <v>7570345.9799999781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195657939</v>
      </c>
      <c r="F41" s="21">
        <v>23575258.450000003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198376723.32999998</v>
      </c>
      <c r="F42" s="21">
        <v>11659023.439999992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237801401.52000001</v>
      </c>
      <c r="F43" s="21">
        <v>15427439.72000001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236358439.53999999</v>
      </c>
      <c r="F44" s="21">
        <v>25808913.329999998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218087907.63</v>
      </c>
      <c r="F45" s="21">
        <v>18767263.709999993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200490678.24000001</v>
      </c>
      <c r="F46" s="21">
        <v>20072757.750000011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180936693.55999997</v>
      </c>
      <c r="F47" s="21">
        <v>18242416.089999989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217365859.86999997</v>
      </c>
      <c r="F48" s="21">
        <v>27343229.279999986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185761806.56999999</v>
      </c>
      <c r="F49" s="21">
        <v>24222651.509999987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163675222.74000001</v>
      </c>
      <c r="F50" s="21">
        <v>16967711.300000004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201194928.56000003</v>
      </c>
      <c r="F51" s="21">
        <v>14005183.950000007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179340363.38999999</v>
      </c>
      <c r="F52" s="21">
        <v>19706426.739999998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203663207.37</v>
      </c>
      <c r="F53" s="21">
        <v>22828020.210000001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181392864.35999998</v>
      </c>
      <c r="F54" s="21">
        <v>9014903.7299999986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182727761.54000002</v>
      </c>
      <c r="F55" s="21">
        <v>32339153.150000002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184151554.98000002</v>
      </c>
      <c r="F56" s="21">
        <v>8276216.0100000016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166998495.72</v>
      </c>
      <c r="F57" s="21">
        <v>17150080.549999997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191731070.5</v>
      </c>
      <c r="F58" s="21">
        <v>17566779.999999996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153949705.38</v>
      </c>
      <c r="F59" s="21">
        <v>13140787.919999992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164641995.75000003</v>
      </c>
      <c r="F60" s="21">
        <v>15211310.319999998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165962728.74999997</v>
      </c>
      <c r="F61" s="21">
        <v>14584000.909999995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171265391.70000002</v>
      </c>
      <c r="F62" s="21">
        <v>18276652.490000002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180948074.61000001</v>
      </c>
      <c r="F63" s="21">
        <v>19072675.090000011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177913901.68000001</v>
      </c>
      <c r="F64" s="21">
        <v>18725188.799999997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8993637286.8400021</v>
      </c>
      <c r="F67" s="23">
        <f>SUM(F13:F66)</f>
        <v>860357415.05993366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CD61-BE01-4655-B34E-C506A6566A3A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15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153852827.31</v>
      </c>
      <c r="F13" s="21">
        <v>12744433.969992002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163456468.00999999</v>
      </c>
      <c r="F14" s="21">
        <v>13068666.289999999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193232471.39000002</v>
      </c>
      <c r="F15" s="21">
        <v>7149621.7981209848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187129088.44</v>
      </c>
      <c r="F16" s="21">
        <v>27314473.030000005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152809080.95999998</v>
      </c>
      <c r="F17" s="21">
        <v>10669036.970006999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217230355.57000002</v>
      </c>
      <c r="F18" s="21">
        <v>7037661.7700030115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231480985.05000001</v>
      </c>
      <c r="F19" s="21">
        <v>36518816.529994011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167614361.06</v>
      </c>
      <c r="F20" s="21">
        <v>15002260.619994013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155730752.13</v>
      </c>
      <c r="F21" s="21">
        <v>20455440.380006008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121291969.53999999</v>
      </c>
      <c r="F22" s="21">
        <v>8151783.9199999962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123736468.80999999</v>
      </c>
      <c r="F23" s="21">
        <v>11344231.449996997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125653266.73</v>
      </c>
      <c r="F24" s="21">
        <v>11003640.99000001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118021953.66000001</v>
      </c>
      <c r="F25" s="21">
        <v>10921212.640015004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113507624.66</v>
      </c>
      <c r="F26" s="21">
        <v>9652793.6299900021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118012753.92</v>
      </c>
      <c r="F27" s="21">
        <v>14310858.660003999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110224048.92</v>
      </c>
      <c r="F28" s="21">
        <v>11625664.560013006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81544840.789999992</v>
      </c>
      <c r="F29" s="21">
        <v>7742591.2899999972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97010134.269999996</v>
      </c>
      <c r="F30" s="21">
        <v>11367883.669995006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125768345.73000002</v>
      </c>
      <c r="F31" s="21">
        <v>7800861.3999820128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116388685.32000001</v>
      </c>
      <c r="F32" s="21">
        <v>7924892.9499979988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103743269.3</v>
      </c>
      <c r="F33" s="21">
        <v>12763020.100000001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105138977.28</v>
      </c>
      <c r="F34" s="21">
        <v>9404732.3399979975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150365004.44</v>
      </c>
      <c r="F35" s="21">
        <v>9359359.580009006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181128402.37</v>
      </c>
      <c r="F36" s="21">
        <v>9975460.1199290138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184345077.40000001</v>
      </c>
      <c r="F37" s="21">
        <v>23608756.980016988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181648143.13999999</v>
      </c>
      <c r="F38" s="21">
        <v>17402768.939852007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196317296.61000001</v>
      </c>
      <c r="F39" s="21">
        <v>17439470.280009981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182353274.73000002</v>
      </c>
      <c r="F40" s="21">
        <v>21269989.419989016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173029230.61000001</v>
      </c>
      <c r="F41" s="21">
        <v>5333562.929995006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198276055.32999998</v>
      </c>
      <c r="F42" s="21">
        <v>1479466.3399920128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192548070.65000001</v>
      </c>
      <c r="F43" s="21">
        <v>19671426.619991999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183287462.47999999</v>
      </c>
      <c r="F44" s="21">
        <v>16915929.187695011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167072709.18000001</v>
      </c>
      <c r="F45" s="21">
        <v>15376627.95000601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162720896.50999999</v>
      </c>
      <c r="F46" s="21">
        <v>16517618.939989014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160982105.31</v>
      </c>
      <c r="F47" s="21">
        <v>19067532.809994996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202719780.06</v>
      </c>
      <c r="F48" s="21">
        <v>16149183.380007006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165031774.09000003</v>
      </c>
      <c r="F49" s="21">
        <v>12757163.239994999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141956784.34999999</v>
      </c>
      <c r="F50" s="21">
        <v>10074796.000003995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167492494.79999998</v>
      </c>
      <c r="F51" s="21">
        <v>10271229.170013998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165624044.08000001</v>
      </c>
      <c r="F52" s="21">
        <v>18119541.960003991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191987866.34000003</v>
      </c>
      <c r="F53" s="21">
        <v>12725322.649266999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191286479.10000002</v>
      </c>
      <c r="F54" s="21">
        <v>20359123.209048003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193606618.73999995</v>
      </c>
      <c r="F55" s="21">
        <v>21855073.010010973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189915838.54999998</v>
      </c>
      <c r="F56" s="21">
        <v>14488499.490004003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177513736.67999998</v>
      </c>
      <c r="F57" s="21">
        <v>18523261.130004998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193961420.12</v>
      </c>
      <c r="F58" s="21">
        <v>17248053.349991016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160770354.05000001</v>
      </c>
      <c r="F59" s="21">
        <v>6835752.8100000042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144321871.97999999</v>
      </c>
      <c r="F60" s="21">
        <v>17793188.740001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229462333.00999999</v>
      </c>
      <c r="F61" s="21">
        <v>2690202.4699930176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239424195.61999997</v>
      </c>
      <c r="F62" s="21">
        <v>16179028.560009003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211927367.75</v>
      </c>
      <c r="F63" s="21">
        <v>24547160.360004984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189046954.17999998</v>
      </c>
      <c r="F64" s="21">
        <v>17729648.359992996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8552702371.1100025</v>
      </c>
      <c r="F67" s="23">
        <f>SUM(F13:F66)</f>
        <v>735738776.94393003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0182-49DE-4981-9631-ABFD85926D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14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105947507.98</v>
      </c>
      <c r="F13" s="21">
        <v>9339014.0700029992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106382424.38000001</v>
      </c>
      <c r="F14" s="21">
        <v>2910417.9200089946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101986660.86</v>
      </c>
      <c r="F15" s="21">
        <v>14234079.280011997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129272340.19</v>
      </c>
      <c r="F16" s="21">
        <v>15871384.059999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137194301.09999999</v>
      </c>
      <c r="F17" s="21">
        <v>12198885.990000002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122462276.53999999</v>
      </c>
      <c r="F18" s="21">
        <v>16529177.640000006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116457141.84999999</v>
      </c>
      <c r="F19" s="21">
        <v>10104052.239990996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108288540.73</v>
      </c>
      <c r="F20" s="21">
        <v>7072715.4900090061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83825919.019999996</v>
      </c>
      <c r="F21" s="21">
        <v>8978880.6199869961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105035625.98999999</v>
      </c>
      <c r="F22" s="21">
        <v>8342360.4400110021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131126204.86</v>
      </c>
      <c r="F23" s="21">
        <v>9140410.8699910063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117335508.75000001</v>
      </c>
      <c r="F24" s="21">
        <v>12350824.420015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124483515.06</v>
      </c>
      <c r="F25" s="21">
        <v>4114990.7599999942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73832881.780000001</v>
      </c>
      <c r="F26" s="21">
        <v>8482581.6999999974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81832097.739999995</v>
      </c>
      <c r="F27" s="21">
        <v>7822683.420010997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56988162.350000001</v>
      </c>
      <c r="F28" s="21">
        <v>5785426.990011001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71877705.99000001</v>
      </c>
      <c r="F29" s="21">
        <v>7413455.2399999993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94513120.25</v>
      </c>
      <c r="F30" s="21">
        <v>13386355.639974993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161404050.94</v>
      </c>
      <c r="F31" s="21">
        <v>25241171.159994993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75899226.63000001</v>
      </c>
      <c r="F32" s="21">
        <v>6842240.7199999969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89309325.510000005</v>
      </c>
      <c r="F33" s="21">
        <v>7284082.7999769989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75101837.980000004</v>
      </c>
      <c r="F34" s="21">
        <v>7437828.7100100005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116356211.24999999</v>
      </c>
      <c r="F35" s="33">
        <v>-3424943.5199930072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138850833.94999999</v>
      </c>
      <c r="F36" s="21">
        <v>16446089.530006003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179671331.41</v>
      </c>
      <c r="F37" s="21">
        <v>12907889.629999001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176013274.86999997</v>
      </c>
      <c r="F38" s="21">
        <v>13926794.480005005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196107171.12999997</v>
      </c>
      <c r="F39" s="21">
        <v>10357549.160041001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140058063.05000001</v>
      </c>
      <c r="F40" s="21">
        <v>12639646.449952997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145949308.20000002</v>
      </c>
      <c r="F41" s="21">
        <v>23033979.479922011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146098018.43000001</v>
      </c>
      <c r="F42" s="21">
        <v>15176014.089917013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147601738.04000002</v>
      </c>
      <c r="F43" s="21">
        <v>8944622.9800159987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159474875.78999999</v>
      </c>
      <c r="F44" s="21">
        <v>10738373.70003001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163762377.22000003</v>
      </c>
      <c r="F45" s="21">
        <v>15286252.110028002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154116260.5</v>
      </c>
      <c r="F46" s="21">
        <v>14213878.060023999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186940463.35999998</v>
      </c>
      <c r="F47" s="21">
        <v>7947564.8601190075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193588844.05999997</v>
      </c>
      <c r="F48" s="21">
        <v>13492835.359998997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145764061.54000002</v>
      </c>
      <c r="F49" s="21">
        <v>20157852.991197996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218089246.94</v>
      </c>
      <c r="F50" s="21">
        <v>18122787.009990014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149033319.91999999</v>
      </c>
      <c r="F51" s="21">
        <v>11559701.549999993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167984156.82999998</v>
      </c>
      <c r="F52" s="21">
        <v>13713750.910027992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155519440.69999999</v>
      </c>
      <c r="F53" s="21">
        <v>9479616.7599820048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150758871.87</v>
      </c>
      <c r="F54" s="21">
        <v>23174791.444986999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166956108.71999997</v>
      </c>
      <c r="F55" s="21">
        <v>15882885.169786997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143997840.22000003</v>
      </c>
      <c r="F56" s="21">
        <v>14959313.919986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126201055.84</v>
      </c>
      <c r="F57" s="21">
        <v>14763991.389981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167309534.81</v>
      </c>
      <c r="F58" s="21">
        <v>7122688.7499910071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155691619.11000001</v>
      </c>
      <c r="F59" s="21">
        <v>17640045.20398099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130039009.76000001</v>
      </c>
      <c r="F60" s="21">
        <v>15246623.479996001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155205021.46000001</v>
      </c>
      <c r="F61" s="21">
        <v>10543836.189999999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146538194.18000001</v>
      </c>
      <c r="F62" s="21">
        <v>13050789.950002003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147970777.86000001</v>
      </c>
      <c r="F63" s="21">
        <v>11291572.069995992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174377326.66999996</v>
      </c>
      <c r="F64" s="21">
        <v>10329996.729905009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7016580734.1700001</v>
      </c>
      <c r="F67" s="23">
        <f>SUM(F13:F66)</f>
        <v>619609810.06988204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B860-CF95-4DCD-BC51-1A0E030F5640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13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72955408.219999999</v>
      </c>
      <c r="F13" s="21">
        <v>5379577.9900000002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83517552.439999998</v>
      </c>
      <c r="F14" s="21">
        <v>2444566.6124460045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72108527.549999997</v>
      </c>
      <c r="F15" s="21">
        <v>5785437.9899999965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78153044.180000007</v>
      </c>
      <c r="F16" s="21">
        <v>7165122.4000029964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64602518.570000008</v>
      </c>
      <c r="F17" s="21">
        <v>1422782.1700000055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78871062.210000008</v>
      </c>
      <c r="F18" s="21">
        <v>8743086.0999990031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71657120.340000004</v>
      </c>
      <c r="F19" s="21">
        <v>6303400.9200009992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64150552.109999992</v>
      </c>
      <c r="F20" s="21">
        <v>3696933.9199999971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71069185.689999998</v>
      </c>
      <c r="F21" s="21">
        <v>1851455.58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74132661.329999998</v>
      </c>
      <c r="F22" s="21">
        <v>2724351.8099990012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65549965.110000007</v>
      </c>
      <c r="F23" s="21">
        <v>6136252.9799970016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65637854.889999993</v>
      </c>
      <c r="F24" s="21">
        <v>1081359.3000010019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52886518.829999998</v>
      </c>
      <c r="F25" s="21">
        <v>3671514.6099970043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55941060.339999996</v>
      </c>
      <c r="F26" s="21">
        <v>4413864.5099970018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52140153.389999993</v>
      </c>
      <c r="F27" s="21">
        <v>6109324.7400000002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52136237.990000002</v>
      </c>
      <c r="F28" s="21">
        <v>1230602.9399999995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38178600.720000006</v>
      </c>
      <c r="F29" s="21">
        <v>3595500.0800029999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44240502.569999993</v>
      </c>
      <c r="F30" s="21">
        <v>4884212.4199890029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54770124.339999996</v>
      </c>
      <c r="F31" s="21">
        <v>5385181.6800000006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57188045.569999993</v>
      </c>
      <c r="F32" s="21">
        <v>4940632.729998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55271472.100000001</v>
      </c>
      <c r="F33" s="21">
        <v>6582689.0699999984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53776211.149999999</v>
      </c>
      <c r="F34" s="21">
        <v>4500970.3199849995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70506262.780000001</v>
      </c>
      <c r="F35" s="21">
        <v>8305277.1799949957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116992927.65000001</v>
      </c>
      <c r="F36" s="21">
        <v>8088272.0798139991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104990543.38</v>
      </c>
      <c r="F37" s="21">
        <v>13383944.879994005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97694658.469999999</v>
      </c>
      <c r="F38" s="21">
        <v>10040540.320000008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111447099.02</v>
      </c>
      <c r="F39" s="21">
        <v>4423551.0899999971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110889390.92</v>
      </c>
      <c r="F40" s="21">
        <v>14012921.649910003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114322412.38</v>
      </c>
      <c r="F41" s="21">
        <v>10172498.729990005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126849569.48999999</v>
      </c>
      <c r="F42" s="21">
        <v>10841852.040153004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113578924</v>
      </c>
      <c r="F43" s="21">
        <v>8766468.880082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118052648.05000001</v>
      </c>
      <c r="F44" s="21">
        <v>11425595.339934999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111109051.33000001</v>
      </c>
      <c r="F45" s="21">
        <v>7944656.8300790004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108536966.46000001</v>
      </c>
      <c r="F46" s="21">
        <v>11870971.719985003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135120849.22</v>
      </c>
      <c r="F47" s="21">
        <v>11228829.529913001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124808357.25999999</v>
      </c>
      <c r="F48" s="21">
        <v>8417204.5799980108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110262991.78</v>
      </c>
      <c r="F49" s="21">
        <v>13289753.349966994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120798094.39</v>
      </c>
      <c r="F50" s="21">
        <v>2955042.7699879999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106618740.15000001</v>
      </c>
      <c r="F51" s="21">
        <v>10950053.889991999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126510190.91000003</v>
      </c>
      <c r="F52" s="21">
        <v>7093231.7101010047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142489697.62</v>
      </c>
      <c r="F53" s="21">
        <v>10322868.824546006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139933843.91000003</v>
      </c>
      <c r="F54" s="21">
        <v>3862914.1955219936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152365141.76000002</v>
      </c>
      <c r="F55" s="21">
        <v>20241156.509990014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108680269.17</v>
      </c>
      <c r="F56" s="21">
        <v>6682020.7501360038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108654046.95</v>
      </c>
      <c r="F57" s="21">
        <v>11906126.200000001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150393366.12999997</v>
      </c>
      <c r="F58" s="21">
        <v>2907775.7999999989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110789177.30000001</v>
      </c>
      <c r="F59" s="21">
        <v>7408351.6799800061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115036867.89000002</v>
      </c>
      <c r="F60" s="21">
        <v>9820645.3300109953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137411093.14000002</v>
      </c>
      <c r="F61" s="21">
        <v>10362130.150003998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147797074</v>
      </c>
      <c r="F62" s="21">
        <v>11707425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154079898</v>
      </c>
      <c r="F63" s="21">
        <v>12522085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116267096.77</v>
      </c>
      <c r="F64" s="21">
        <v>12199920.559888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4991921629.9200001</v>
      </c>
      <c r="F66" s="23">
        <f>SUM(F13:F65)</f>
        <v>391202907.44238806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2" customFormat="1" ht="25.5" customHeight="1" x14ac:dyDescent="0.25">
      <c r="A69" s="36" t="s">
        <v>9</v>
      </c>
      <c r="B69" s="36"/>
      <c r="C69" s="36"/>
      <c r="D69" s="36"/>
      <c r="E69" s="36"/>
      <c r="F69" s="36"/>
      <c r="G69" s="36"/>
      <c r="H69" s="36"/>
      <c r="I69" s="36"/>
      <c r="J69" s="36"/>
    </row>
    <row r="70" spans="1:19" s="32" customFormat="1" ht="15" customHeight="1" x14ac:dyDescent="0.25">
      <c r="A70" s="36" t="s">
        <v>10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7" t="s">
        <v>12</v>
      </c>
      <c r="B71" s="37"/>
      <c r="C71" s="37"/>
      <c r="D71" s="37"/>
      <c r="E71" s="37"/>
      <c r="F71" s="37"/>
      <c r="G71" s="37"/>
      <c r="H71" s="37"/>
      <c r="I71" s="37"/>
      <c r="J71" s="37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8"/>
  <sheetViews>
    <sheetView workbookViewId="0">
      <pane xSplit="1" ySplit="11" topLeftCell="B14" activePane="bottomRight" state="frozen"/>
      <selection activeCell="B33" sqref="B33"/>
      <selection pane="topRight" activeCell="B33" sqref="B33"/>
      <selection pane="bottomLeft" activeCell="B33" sqref="B33"/>
      <selection pane="bottomRight" activeCell="A28" sqref="A28:E31"/>
    </sheetView>
  </sheetViews>
  <sheetFormatPr defaultRowHeight="15" x14ac:dyDescent="0.25"/>
  <cols>
    <col min="1" max="1" width="11.85546875" style="6" customWidth="1"/>
    <col min="2" max="2" width="15.7109375" style="21" customWidth="1"/>
    <col min="3" max="3" width="6" style="21" customWidth="1"/>
    <col min="4" max="4" width="15.7109375" style="21" customWidth="1"/>
    <col min="5" max="5" width="6.855468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4"/>
      <c r="T3" s="4"/>
      <c r="U3" s="4"/>
      <c r="V3" s="4"/>
      <c r="W3" s="4"/>
    </row>
    <row r="4" spans="1:23" s="3" customFormat="1" ht="18" x14ac:dyDescent="0.25">
      <c r="A4" s="30"/>
      <c r="B4" s="30"/>
      <c r="C4" s="30"/>
      <c r="D4" s="30"/>
      <c r="E4" s="3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5" t="s">
        <v>7</v>
      </c>
      <c r="B8" s="35"/>
      <c r="C8" s="35"/>
      <c r="D8" s="35"/>
      <c r="E8" s="35"/>
    </row>
    <row r="9" spans="1:23" s="13" customFormat="1" ht="12.75" x14ac:dyDescent="0.2">
      <c r="A9" s="31"/>
      <c r="B9" s="31"/>
      <c r="C9" s="31"/>
      <c r="D9" s="31"/>
      <c r="E9" s="31"/>
      <c r="F9" s="12"/>
    </row>
    <row r="10" spans="1:23" s="17" customFormat="1" ht="12.75" customHeight="1" x14ac:dyDescent="0.2">
      <c r="A10" s="11"/>
      <c r="B10" s="15" t="s">
        <v>6</v>
      </c>
      <c r="C10" s="15"/>
      <c r="D10" s="15" t="s">
        <v>6</v>
      </c>
      <c r="E10" s="15"/>
      <c r="F10" s="14"/>
    </row>
    <row r="11" spans="1:23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B13" s="21">
        <v>38505012.829999998</v>
      </c>
      <c r="D13" s="21">
        <v>7026956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B14" s="21">
        <v>95912065.299999997</v>
      </c>
      <c r="D14" s="21">
        <v>3895593.23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21">
        <v>131058363.23</v>
      </c>
      <c r="D15" s="21">
        <v>10828663.890000001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21">
        <v>102185796.58</v>
      </c>
      <c r="D16" s="21">
        <v>5347567.6400000006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21">
        <v>87253254.129999995</v>
      </c>
      <c r="D17" s="21">
        <v>8689765.5199999996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21">
        <v>121457820.01000001</v>
      </c>
      <c r="D18" s="21">
        <v>11322419.930000003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21">
        <v>93866155.129999995</v>
      </c>
      <c r="D19" s="21">
        <v>4463927.0900000045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21">
        <v>87378019.25999999</v>
      </c>
      <c r="D20" s="21">
        <v>7357053.7400000012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21">
        <v>91891857.609999985</v>
      </c>
      <c r="D21" s="21">
        <v>6697258.0399999982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21">
        <v>103084207.63000001</v>
      </c>
      <c r="D22" s="21">
        <v>8301068.1400000015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21">
        <v>110841555.69000001</v>
      </c>
      <c r="D23" s="21">
        <v>3311250.8499999996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21">
        <v>83046206.280000001</v>
      </c>
      <c r="D24" s="21">
        <v>1859707.280000004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1146480313.6800001</v>
      </c>
      <c r="D25" s="23">
        <f>SUM(D13:D24)</f>
        <v>79101231.350000009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5" t="s">
        <v>5</v>
      </c>
      <c r="B27" s="24"/>
      <c r="C27" s="24"/>
      <c r="D27" s="24"/>
      <c r="E27" s="24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53.25" customHeight="1" x14ac:dyDescent="0.25">
      <c r="A28" s="36" t="s">
        <v>9</v>
      </c>
      <c r="B28" s="36"/>
      <c r="C28" s="36"/>
      <c r="D28" s="36"/>
      <c r="E28" s="36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36" t="s">
        <v>10</v>
      </c>
      <c r="B29" s="36"/>
      <c r="C29" s="36"/>
      <c r="D29" s="36"/>
      <c r="E29" s="36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26.25" customHeight="1" x14ac:dyDescent="0.25">
      <c r="A30" s="41" t="s">
        <v>11</v>
      </c>
      <c r="B30" s="41"/>
      <c r="C30" s="41"/>
      <c r="D30" s="41"/>
      <c r="E30" s="41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32.25" customHeight="1" x14ac:dyDescent="0.25">
      <c r="A31" s="37" t="s">
        <v>12</v>
      </c>
      <c r="B31" s="37"/>
      <c r="C31" s="37"/>
      <c r="D31" s="37"/>
      <c r="E31" s="37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x14ac:dyDescent="0.25">
      <c r="F63" s="24"/>
      <c r="G63" s="22"/>
      <c r="K63"/>
      <c r="L63"/>
      <c r="M63"/>
      <c r="N63"/>
      <c r="O63"/>
      <c r="P63"/>
      <c r="Q63"/>
      <c r="R63"/>
    </row>
    <row r="64" spans="1:18" s="24" customFormat="1" x14ac:dyDescent="0.25">
      <c r="A64" s="6"/>
      <c r="B64" s="21"/>
      <c r="C64" s="21"/>
      <c r="D64" s="21"/>
      <c r="E64" s="21"/>
      <c r="F64" s="21"/>
      <c r="G64" s="21"/>
      <c r="H64" s="22"/>
      <c r="I64" s="21"/>
      <c r="J64" s="21"/>
      <c r="L64" s="22"/>
      <c r="M64" s="21"/>
      <c r="N64" s="21"/>
      <c r="O64" s="21"/>
      <c r="P64" s="21"/>
      <c r="Q64" s="21"/>
      <c r="R64" s="21"/>
    </row>
    <row r="65" spans="1:23" s="24" customFormat="1" x14ac:dyDescent="0.25">
      <c r="A65" s="6"/>
      <c r="B65" s="21"/>
      <c r="C65" s="21"/>
      <c r="D65" s="21"/>
      <c r="E65" s="21"/>
      <c r="F65" s="26"/>
      <c r="G65" s="26"/>
      <c r="H65" s="27"/>
      <c r="I65" s="26"/>
      <c r="J65" s="26"/>
      <c r="L65" s="22"/>
      <c r="M65" s="21"/>
      <c r="N65" s="21"/>
      <c r="O65" s="21"/>
      <c r="P65" s="21"/>
      <c r="Q65" s="21"/>
      <c r="R65" s="21"/>
    </row>
    <row r="66" spans="1:23" x14ac:dyDescent="0.25">
      <c r="G66" s="22"/>
      <c r="K66" s="21"/>
      <c r="L66" s="21"/>
      <c r="S66" s="21"/>
      <c r="T66" s="21"/>
    </row>
    <row r="67" spans="1:23" x14ac:dyDescent="0.25">
      <c r="G67" s="22"/>
      <c r="K67" s="26"/>
      <c r="L67" s="26"/>
      <c r="M67" s="26"/>
      <c r="N67" s="26"/>
      <c r="O67" s="26"/>
      <c r="P67" s="26"/>
      <c r="Q67" s="26"/>
      <c r="S67" s="21"/>
      <c r="T67" s="21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x14ac:dyDescent="0.25">
      <c r="G77" s="22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K168" s="22"/>
      <c r="L168" s="22"/>
      <c r="S168"/>
      <c r="T168"/>
      <c r="U168"/>
      <c r="V168"/>
      <c r="W168"/>
    </row>
  </sheetData>
  <mergeCells count="6">
    <mergeCell ref="A8:E8"/>
    <mergeCell ref="A28:E28"/>
    <mergeCell ref="A31:E31"/>
    <mergeCell ref="A6:E6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2026-04-29T16:09:33Z</cp:lastPrinted>
  <dcterms:created xsi:type="dcterms:W3CDTF">2022-01-10T16:49:23Z</dcterms:created>
  <dcterms:modified xsi:type="dcterms:W3CDTF">2026-09-02T15:53:43Z</dcterms:modified>
</cp:coreProperties>
</file>