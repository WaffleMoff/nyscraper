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MOBILE SPORTS WAGERING\11_Weekly Web Reports\"/>
    </mc:Choice>
  </mc:AlternateContent>
  <xr:revisionPtr revIDLastSave="0" documentId="13_ncr:1_{E04422BD-7497-461C-B5F4-CACFA325E39F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22-23" sheetId="3" r:id="rId5"/>
    <sheet name="FY21-22" sheetId="1" r:id="rId6"/>
  </sheets>
  <definedNames>
    <definedName name="_xlnm.Print_Area" localSheetId="3">'FY 23-24'!$A$1:$J$73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C66" i="3"/>
  <c r="F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D25" i="1" l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<sst xmlns="http://schemas.openxmlformats.org/spreadsheetml/2006/main" count="85" uniqueCount="18">
  <si>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</si>
  <si>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</si>
  <si>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</si>
  <si>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</si>
  <si>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</si>
  <si>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</si>
  <si>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</si>
  <si>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</si>
  <si>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</si>
  <si>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</si>
  <si>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BetMGM</t>
  </si>
  <si>
    <t xml:space="preserve">2) Mobile Sports Wagering Gross Gaming Revenue (GGR) is taxed at 51%. </t>
  </si>
  <si>
    <t>3) BetMGM began operating in NY on 1/17/22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</si>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</sst>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  <numFmt numFmtId="167" formatCode="_(&quot;$&quot;* #,##0_);_(&quot;$&quot;* \(#,##0\);_(&quot;$&quot;* &quot;-&quot;??_);_(@_)"/>
    <numFmt numFmtId="168" formatCode="&quot;$&quot;#,##0"/>
  </numFmts>
  <fonts count="12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theme="1"/>
      <name val="Calibri"/>
      <family val="2"/>
      <scheme val="minor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6" fontId="3" fillId="0" borderId="0" xfId="1" applyNumberFormat="1" applyAlignment="1" applyProtection="1"/>
    <xf numFmtId="6" fontId="1" fillId="0" borderId="0" xfId="0" applyNumberFormat="1" applyFont="1"/>
    <xf numFmtId="0" fontId="10" fillId="0" borderId="0" xfId="0" applyFont="1" applyAlignment="1">
      <alignment wrapText="1"/>
    </xf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167" fontId="0" fillId="0" borderId="0" xfId="0" applyNumberFormat="1"/>
    <xf numFmtId="168" fontId="0" fillId="0" borderId="0" xfId="0" applyNumberFormat="1"/>
    <xf numFmtId="5" fontId="0" fillId="0" borderId="0" xfId="0" applyNumberFormat="1"/>
    <xf numFmtId="5" fontId="0" fillId="0" borderId="2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1" fillId="0" borderId="0" xfId="0" applyNumberFormat="1" applyFont="1" applyAlignment="1">
      <alignment horizontal="left" wrapText="1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3957A9-8514-45C0-B7FD-247D60E638B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5216A4-E4FA-4E35-B2C4-83D0F2465EE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F4C482-C16F-4269-A428-394E060B71A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F208EB-2FBC-46C5-8D05-B8D97E72D58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42EE7A-4DE8-4EC5-8BF4-46699B857D2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45F46A-F883-4971-A5B5-265786CA671E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2317E2-6BCC-4723-89E0-CEB1562B157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A46459-D97E-4658-A582-178ED21767E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9D3BFC-80CE-405C-9379-38C22C44D88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25A6D5-6698-4504-BEFC-3837B32436B4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28575</xdr:rowOff>
    </xdr:from>
    <xdr:to>
      <xdr:col>1</xdr:col>
      <xdr:colOff>228600</xdr:colOff>
      <xdr:row>4</xdr:row>
      <xdr:rowOff>183515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1BE257-EAC5-46AC-82E0-912C32C85FD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8575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DC192-D6A4-4918-8792-A4B5584E2D47}">
  <sheetPr>
    <pageSetUpPr fitToPage="1"/>
  </sheetPr>
  <dimension ref="A1:X208"/>
  <sheetViews>
    <sheetView tabSelected="1" zoomScaleNormal="100" workbookViewId="0">
      <pane xSplit="2" ySplit="12" topLeftCell="C25" activePane="bottomRight" state="frozen"/>
      <selection activeCell="B33" sqref="B33"/>
      <selection pane="topRight" activeCell="B33" sqref="B33"/>
      <selection pane="bottomLeft" activeCell="B33" sqref="B33"/>
      <selection pane="bottomRight" activeCell="C35" sqref="C35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17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38468109.239999995</v>
      </c>
      <c r="F13" s="35">
        <v>859832.40000000084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37004255.490000002</v>
      </c>
      <c r="F14" s="35">
        <v>2436198.85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35215080.640000001</v>
      </c>
      <c r="F15" s="35">
        <v>3645146.9300000044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31865081.09</v>
      </c>
      <c r="F16" s="35">
        <v>3599703.7799999993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40768565.390000001</v>
      </c>
      <c r="F17" s="35">
        <v>4334176.4799999986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41447962.670000002</v>
      </c>
      <c r="F18" s="35">
        <v>3778465.4200000009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35384474.509999998</v>
      </c>
      <c r="F19" s="35">
        <v>3738662.7499999995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32239642.690000005</v>
      </c>
      <c r="F20" s="35">
        <v>3125979.5199999996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40327897.939999998</v>
      </c>
      <c r="F21" s="35">
        <v>3911530.9700000007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37496461.880000003</v>
      </c>
      <c r="F22" s="35">
        <v>1636929.5900000003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32812175.569999997</v>
      </c>
      <c r="F23" s="35">
        <v>3627798.8800000004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44703353.719999999</v>
      </c>
      <c r="F24" s="35">
        <v>-2481950.9299999983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37762063.710000001</v>
      </c>
      <c r="F25" s="35">
        <v>3330256.5600000005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34322403.390000001</v>
      </c>
      <c r="F26" s="35">
        <v>4555167.410000002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39155249.869999997</v>
      </c>
      <c r="F27" s="35">
        <v>2644188.0299999993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34868854.969999999</v>
      </c>
      <c r="F28" s="35">
        <v>4459574.1899999995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29900329.180000003</v>
      </c>
      <c r="F29" s="35">
        <v>4363449.0000000019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24313827.830000002</v>
      </c>
      <c r="F30" s="35">
        <v>2831498.9400000004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33134991.070000008</v>
      </c>
      <c r="F31" s="35">
        <v>2695235.9600000004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25099261.07</v>
      </c>
      <c r="F32" s="35">
        <v>3458247.080000001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26211607.09</v>
      </c>
      <c r="F33" s="35">
        <v>3989974.3299999991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24881322.16</v>
      </c>
      <c r="F34" s="35">
        <v>1911178.44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F35" s="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F36" s="35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35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35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35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35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35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35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35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35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35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35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35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35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35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35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35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35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35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35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35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35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35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35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35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35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35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35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35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35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35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757382971.16999996</v>
      </c>
      <c r="F67" s="36">
        <f>SUM(F13:F66)</f>
        <v>66451244.579999998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A9CCD-CCC2-4A1B-9926-EB61A56302ED}">
  <sheetPr>
    <pageSetUpPr fitToPage="1"/>
  </sheetPr>
  <dimension ref="A1:X208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58" sqref="F58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16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43739303.18</v>
      </c>
      <c r="F13" s="21">
        <v>989661.76999999955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39641868.070000008</v>
      </c>
      <c r="F14" s="21">
        <v>3533969.7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34157605.720000006</v>
      </c>
      <c r="F15" s="21">
        <v>3071731.6800000034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34744156.619999997</v>
      </c>
      <c r="F16" s="21">
        <v>1055093.8100000024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36016986.660000004</v>
      </c>
      <c r="F17" s="21">
        <v>3532438.8200000008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37326378.419999994</v>
      </c>
      <c r="F18" s="21">
        <v>2791911.3499999996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40925288.160000004</v>
      </c>
      <c r="F19" s="21">
        <v>1939083.19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35385750.359999999</v>
      </c>
      <c r="F20" s="21">
        <v>2560220.080000001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34407313.329999998</v>
      </c>
      <c r="F21" s="21">
        <v>4905207.129999999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32206998.25</v>
      </c>
      <c r="F22" s="21">
        <v>3671129.73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28644089.539999999</v>
      </c>
      <c r="F23" s="21">
        <v>2653875.3099999991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27044391.860000003</v>
      </c>
      <c r="F24" s="21">
        <v>3117574.740000003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29067427.620000001</v>
      </c>
      <c r="F25" s="21">
        <v>4448500.0299999975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24923517.829999998</v>
      </c>
      <c r="F26" s="21">
        <v>881250.60000000009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24531370.77</v>
      </c>
      <c r="F27" s="21">
        <v>2204666.7899999996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22556799.729999997</v>
      </c>
      <c r="F28" s="21">
        <v>1711814.3199999994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16814948.700000003</v>
      </c>
      <c r="F29" s="21">
        <v>2222859.25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23064208.469999999</v>
      </c>
      <c r="F30" s="21">
        <v>2510195.439999999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26859023.59</v>
      </c>
      <c r="F31" s="21">
        <v>3685940.5399999991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24360348.82</v>
      </c>
      <c r="F32" s="21">
        <v>2464986.6100000003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26577607.569999997</v>
      </c>
      <c r="F33" s="21">
        <v>2477446.350000001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28073142.730000004</v>
      </c>
      <c r="F34" s="21">
        <v>3001990.5800000015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38766127.109999999</v>
      </c>
      <c r="F35" s="21">
        <v>4349781.3199999984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36970588.990000002</v>
      </c>
      <c r="F36" s="21">
        <v>1901342.7999999975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32004675.409999996</v>
      </c>
      <c r="F37" s="21">
        <v>2500077.0200000005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36778363.460000001</v>
      </c>
      <c r="F38" s="21">
        <v>2023266.219999996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36274274.909999996</v>
      </c>
      <c r="F39" s="21">
        <v>4272457.0800000029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40686124.210000001</v>
      </c>
      <c r="F40" s="21">
        <v>2506384.8300000015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41380352.93</v>
      </c>
      <c r="F41" s="21">
        <v>2484975.7099999962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41833549.829999991</v>
      </c>
      <c r="F42" s="35">
        <v>3384698.8300000019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44456459.590000004</v>
      </c>
      <c r="F43" s="21">
        <v>2636325.2699999949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42688968.759999998</v>
      </c>
      <c r="F44" s="21">
        <v>4971720.1299999971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36200787.019999996</v>
      </c>
      <c r="F45" s="21">
        <v>4212857.5499999989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37261031.539999999</v>
      </c>
      <c r="F46" s="21">
        <v>3276974.0499999993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33099246.989999998</v>
      </c>
      <c r="F47" s="21">
        <v>2649367.1499999976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49252131.920000002</v>
      </c>
      <c r="F48" s="21">
        <v>2039235.9000000013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60944861.559999987</v>
      </c>
      <c r="F49" s="21">
        <v>5165236.0299999956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44028146.310000002</v>
      </c>
      <c r="F50" s="21">
        <v>3693109.8699999955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65051138.030000001</v>
      </c>
      <c r="F51" s="35">
        <v>-898828.42999999691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67435125.679999992</v>
      </c>
      <c r="F52" s="21">
        <v>3768660.7999999989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57593516.420000002</v>
      </c>
      <c r="F53" s="21">
        <v>2577686.6000000006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58661005.220000006</v>
      </c>
      <c r="F54" s="21">
        <v>503642.04000000656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56926545.829999998</v>
      </c>
      <c r="F55" s="21">
        <v>6188866.2099999981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49091122.719999999</v>
      </c>
      <c r="F56" s="21">
        <v>1807947.1499999994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49549457.840000004</v>
      </c>
      <c r="F57" s="21">
        <v>3515499.18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45787710.5</v>
      </c>
      <c r="F58" s="35">
        <v>-1444654.8999999985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40350059.530000001</v>
      </c>
      <c r="F59" s="35">
        <v>3016342.709999999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38405342.539999999</v>
      </c>
      <c r="F60" s="35">
        <v>993155.13000000175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44503349.439999998</v>
      </c>
      <c r="F61" s="35">
        <v>1877738.1299999957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56399916.669999994</v>
      </c>
      <c r="F62" s="35">
        <v>2034630.7499999981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42301781.849999994</v>
      </c>
      <c r="F63" s="35">
        <v>4873596.5299999993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41735719.140000001</v>
      </c>
      <c r="F64" s="35">
        <v>3101211.2399999993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3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35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2037486007.9500003</v>
      </c>
      <c r="F67" s="36">
        <f>SUM(F13:F66)</f>
        <v>143414850.71999994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6C501-A87C-4396-A93C-0DD12370B22C}">
  <sheetPr>
    <pageSetUpPr fitToPage="1"/>
  </sheetPr>
  <dimension ref="A1:X208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M53" sqref="M53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15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27366826.84</v>
      </c>
      <c r="F13" s="21">
        <v>1624993.0699999998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31551194.809999999</v>
      </c>
      <c r="F14" s="21">
        <v>2017188.2299999991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31953636.049999997</v>
      </c>
      <c r="F15" s="21">
        <v>1339440.1899999976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29738621.620000001</v>
      </c>
      <c r="F16" s="21">
        <v>2778513.9500000007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29331816.350000001</v>
      </c>
      <c r="F17" s="21">
        <v>2139771.1399999997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29341889.399999999</v>
      </c>
      <c r="F18" s="21">
        <v>1010728.6400000001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29743399.57</v>
      </c>
      <c r="F19" s="21">
        <v>2078486.2400000007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27319756.389999997</v>
      </c>
      <c r="F20" s="21">
        <v>1894146.3899999997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23561915.319999997</v>
      </c>
      <c r="F21" s="21">
        <v>2448931.2999999998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22160525.059999999</v>
      </c>
      <c r="F22" s="21">
        <v>1144712.8600000008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22499672.279999997</v>
      </c>
      <c r="F23" s="21">
        <v>1568591.7700000014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25251770.359999999</v>
      </c>
      <c r="F24" s="21">
        <v>1635383.47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22773805.349999998</v>
      </c>
      <c r="F25" s="21">
        <v>2077306.9500000007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22911698.089999996</v>
      </c>
      <c r="F26" s="21">
        <v>1974291.8199999994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26772756.690000001</v>
      </c>
      <c r="F27" s="21">
        <v>2766307.6099999994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19884499.100000001</v>
      </c>
      <c r="F28" s="21">
        <v>1784346.0199999996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11997076.499999998</v>
      </c>
      <c r="F29" s="21">
        <v>960452.5804479986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19182828.890000001</v>
      </c>
      <c r="F30" s="21">
        <v>2232295.2900000024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24829093.84</v>
      </c>
      <c r="F31" s="21">
        <v>1845531.2599999984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23524940.359999999</v>
      </c>
      <c r="F32" s="21">
        <v>1096633.129999999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30827554.509999998</v>
      </c>
      <c r="F33" s="21">
        <v>2148387.1100000003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31365022.390000001</v>
      </c>
      <c r="F34" s="21">
        <v>1813118.8700000024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33675861.969999999</v>
      </c>
      <c r="F35" s="21">
        <v>1627540.069999998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34036015.860000007</v>
      </c>
      <c r="F36" s="21">
        <v>2795922.8600000022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31272828.010000005</v>
      </c>
      <c r="F37" s="21">
        <v>2115654.2400000007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37151535.059999987</v>
      </c>
      <c r="F38" s="21">
        <v>1423381.7999999989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32933496.68</v>
      </c>
      <c r="F39" s="21">
        <v>3462527.92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32184027.050000001</v>
      </c>
      <c r="F40" s="21">
        <v>3380777.0799999968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33920441.829999998</v>
      </c>
      <c r="F41" s="21">
        <v>613994.87999999942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38631422.729999997</v>
      </c>
      <c r="F42" s="35">
        <v>-499550.9700000002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37412890.390000001</v>
      </c>
      <c r="F43" s="21">
        <v>3199697.9499999997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43368308.149999999</v>
      </c>
      <c r="F44" s="21">
        <v>2163007.5999999996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43474481.439999998</v>
      </c>
      <c r="F45" s="21">
        <v>4911825.1099999966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34132496.230000004</v>
      </c>
      <c r="F46" s="21">
        <v>3856522.7900000042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37831119.690000005</v>
      </c>
      <c r="F47" s="21">
        <v>3187135.3699999996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40354371.589999996</v>
      </c>
      <c r="F48" s="21">
        <v>1811941.1800000002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42421181.700000003</v>
      </c>
      <c r="F49" s="21">
        <v>1428921.5699999989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37117911.350000001</v>
      </c>
      <c r="F50" s="21">
        <v>1191302.0299999998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40977076.450000003</v>
      </c>
      <c r="F51" s="21">
        <v>4363152.9200000018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37475145.119999997</v>
      </c>
      <c r="F52" s="21">
        <v>3420180.7999999984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48844682.050000004</v>
      </c>
      <c r="F53" s="21">
        <v>2009601.2900000047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43918275.659999996</v>
      </c>
      <c r="F54" s="21">
        <v>3688126.9099999974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50434984.939999998</v>
      </c>
      <c r="F55" s="21">
        <v>4758493.8500000015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37745939.229999997</v>
      </c>
      <c r="F56" s="21">
        <v>2388561.7599999993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38825722.829999998</v>
      </c>
      <c r="F57" s="21">
        <v>4217174.0000000009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38396184.320000008</v>
      </c>
      <c r="F58" s="21">
        <v>2751939.21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27908045.460000001</v>
      </c>
      <c r="F59" s="21">
        <v>2354687.7800000021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28256271.669999998</v>
      </c>
      <c r="F60" s="21">
        <v>3171973.669999999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33606666.32</v>
      </c>
      <c r="F61" s="21">
        <v>2518390.0300000012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32420498.729999997</v>
      </c>
      <c r="F62" s="21">
        <v>2360110.180000002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35195634</v>
      </c>
      <c r="F63" s="21">
        <v>3166409.7500000005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40679074.839999996</v>
      </c>
      <c r="F64" s="21">
        <v>2611333.8900000011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1688492891.1199996</v>
      </c>
      <c r="F67" s="36">
        <f>SUM(F13:F66)</f>
        <v>120830295.41044804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E5AD2-333E-4093-93F0-E0C2AFB459C5}">
  <sheetPr>
    <pageSetUpPr fitToPage="1"/>
  </sheetPr>
  <dimension ref="A1:X208"/>
  <sheetViews>
    <sheetView zoomScaleNormal="100" workbookViewId="0">
      <pane xSplit="2" ySplit="12" topLeftCell="C47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14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42808123.479999989</v>
      </c>
      <c r="F13" s="35">
        <v>-1840576.6100000024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32072978.32</v>
      </c>
      <c r="F14" s="21">
        <v>3051842.1400000011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21414251.049999997</v>
      </c>
      <c r="F15" s="21">
        <v>2718046.2299999995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24852117.140000001</v>
      </c>
      <c r="F16" s="21">
        <v>1936694.5200000021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25593536.650000002</v>
      </c>
      <c r="F17" s="21">
        <v>2309935.9800000014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25439146.579999998</v>
      </c>
      <c r="F18" s="21">
        <v>3275863.6599999992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19367044.649999999</v>
      </c>
      <c r="F19" s="21">
        <v>1642424.9699999983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21444742.449999999</v>
      </c>
      <c r="F20" s="21">
        <v>957107.57000000193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17919392.140000001</v>
      </c>
      <c r="F21" s="21">
        <v>2433180.9200000013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23190460.25</v>
      </c>
      <c r="F22" s="21">
        <v>1568163.8999999994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16444113.340000002</v>
      </c>
      <c r="F23" s="21">
        <v>1496011.0099999979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17303310.5</v>
      </c>
      <c r="F24" s="21">
        <v>1319326.3899999999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16317697.439999998</v>
      </c>
      <c r="F25" s="21">
        <v>1317009.2699999996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16379963.390000001</v>
      </c>
      <c r="F26" s="21">
        <v>1968327.23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17933952.5</v>
      </c>
      <c r="F27" s="21">
        <v>1126184.3400000012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11002798.5</v>
      </c>
      <c r="F28" s="21">
        <v>1324978.830000001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13539560.140000001</v>
      </c>
      <c r="F29" s="21">
        <v>1855154.8100000005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16107230.750000002</v>
      </c>
      <c r="F30" s="21">
        <v>1849070.219999999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14032743.75</v>
      </c>
      <c r="F31" s="21">
        <v>1885557.5300000003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19153980.559999999</v>
      </c>
      <c r="F32" s="21">
        <v>1220813.4400000013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16051072.199999999</v>
      </c>
      <c r="F33" s="21">
        <v>1642240.0699999991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14759662.040000001</v>
      </c>
      <c r="F34" s="21">
        <v>1293388.7800000003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18515621.59</v>
      </c>
      <c r="F35" s="21">
        <v>1673999.9299999997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22081258.309999999</v>
      </c>
      <c r="F36" s="21">
        <v>2260646.3699999987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23725291.260000002</v>
      </c>
      <c r="F37" s="21">
        <v>1296745.7900000003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26244993.190000001</v>
      </c>
      <c r="F38" s="21">
        <v>2112700.040000001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24250720.710000001</v>
      </c>
      <c r="F39" s="21">
        <v>710364.88999999966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23621731.580000002</v>
      </c>
      <c r="F40" s="21">
        <v>1488464.090000001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22310019.019999996</v>
      </c>
      <c r="F41" s="21">
        <v>3117449.1599999978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23984739.539999999</v>
      </c>
      <c r="F42" s="21">
        <v>1699686.8699999987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25511101.659999996</v>
      </c>
      <c r="F43" s="21">
        <v>1269449.0999999996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26557882.539999999</v>
      </c>
      <c r="F44" s="21">
        <v>1979481.4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27441124.530000001</v>
      </c>
      <c r="F45" s="21">
        <v>2363002.0900000008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32081989.82</v>
      </c>
      <c r="F46" s="21">
        <v>2249556.6900000023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29448060.249999996</v>
      </c>
      <c r="F47" s="21">
        <v>395876.80000000261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25076947.009999998</v>
      </c>
      <c r="F48" s="21">
        <v>1964276.4899999993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22909374.07</v>
      </c>
      <c r="F49" s="21">
        <v>2883725.4800000014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35634310.079999998</v>
      </c>
      <c r="F50" s="35">
        <v>-162998.13000000035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26887304.889999997</v>
      </c>
      <c r="F51" s="21">
        <v>2976703.5999999982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27466220.140000004</v>
      </c>
      <c r="F52" s="21">
        <v>2198219.7700000005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29056304.950000003</v>
      </c>
      <c r="F53" s="21">
        <v>1407332.4499999997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26717835.860000003</v>
      </c>
      <c r="F54" s="21">
        <v>2565757.2700000014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29789007.839999996</v>
      </c>
      <c r="F55" s="21">
        <v>2220711.4899999998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24074480.760000005</v>
      </c>
      <c r="F56" s="21">
        <v>2732665.9199999995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33098331.959999997</v>
      </c>
      <c r="F57" s="21">
        <v>6674491.290000001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29936553.519999996</v>
      </c>
      <c r="F58" s="35">
        <v>-9603348.5699999928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31080192.289999999</v>
      </c>
      <c r="F59" s="21">
        <v>177326.10000000196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30761860.060000002</v>
      </c>
      <c r="F60" s="21">
        <v>3688581.3899999987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27955211.329999998</v>
      </c>
      <c r="F61" s="21">
        <v>1526526.3700000015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31744124.77</v>
      </c>
      <c r="F62" s="21">
        <v>2310712.0999999968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29954732.5</v>
      </c>
      <c r="F63" s="21">
        <v>2175130.8500000015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30196250.480000004</v>
      </c>
      <c r="F64" s="21">
        <v>1435858.7200000014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1261241454.3299999</v>
      </c>
      <c r="F67" s="36">
        <f>SUM(F13:F66)</f>
        <v>86139841.01000002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EC1F9-713D-4340-82A2-856D57C584E2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6" sqref="F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13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36879411.219999999</v>
      </c>
      <c r="F13" s="21">
        <v>733061.16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36251499.549999997</v>
      </c>
      <c r="F14" s="21">
        <v>1202924.7499999846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31008404.489999995</v>
      </c>
      <c r="F15" s="21">
        <v>1142063.2499999991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32460692.039999999</v>
      </c>
      <c r="F16" s="21">
        <v>2399108.260000003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28380681.690000001</v>
      </c>
      <c r="F17" s="21">
        <v>12682.16999999946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31325595.630000003</v>
      </c>
      <c r="F18" s="21">
        <v>2384717.3899999992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30012837.739999998</v>
      </c>
      <c r="F19" s="21">
        <v>2291244.6099999975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26076132.010000002</v>
      </c>
      <c r="F20" s="21">
        <v>1402347.6200000017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25580388.409999996</v>
      </c>
      <c r="F21" s="21">
        <v>1502315.8200000008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23599548.819999997</v>
      </c>
      <c r="F22" s="21">
        <v>523774.03000000166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22813479.390000001</v>
      </c>
      <c r="F23" s="21">
        <v>2820667.1500000004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21608493.980000004</v>
      </c>
      <c r="F24" s="21">
        <v>351660.6500000027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19558937.969999999</v>
      </c>
      <c r="F25" s="21">
        <v>1284962.0699999989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18575470.719999999</v>
      </c>
      <c r="F26" s="21">
        <v>2424670.8100000024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15842160.569999998</v>
      </c>
      <c r="F27" s="21">
        <v>2166746.3299999982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16245524.800000001</v>
      </c>
      <c r="F28" s="21">
        <v>512968.38999999902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15747565.550000001</v>
      </c>
      <c r="F29" s="21">
        <v>1375803.1500000055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17200616.819999997</v>
      </c>
      <c r="F30" s="21">
        <v>1617265.609999991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15683858.959999999</v>
      </c>
      <c r="F31" s="21">
        <v>1732042.639999998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16421830.550000001</v>
      </c>
      <c r="F32" s="21">
        <v>1919406.9099999997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17053196.61999999</v>
      </c>
      <c r="F33" s="21">
        <v>2098682.3299999787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17061254.150000002</v>
      </c>
      <c r="F34" s="21">
        <v>1797854.6899999988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18654354.469999999</v>
      </c>
      <c r="F35" s="21">
        <v>1964916.6600000006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23809780.449999999</v>
      </c>
      <c r="F36" s="21">
        <v>1550719.2000000009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23493932.669999994</v>
      </c>
      <c r="F37" s="21">
        <v>2177018.8799999999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23865591.23</v>
      </c>
      <c r="F38" s="21">
        <v>1998158.6799999985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21606606.329999998</v>
      </c>
      <c r="F39" s="21">
        <v>1787673.9999999995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21062818.190000001</v>
      </c>
      <c r="F40" s="21">
        <v>2604708.1399999899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22251482.689999998</v>
      </c>
      <c r="F41" s="21">
        <v>1950475.6800000002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24787892</v>
      </c>
      <c r="F42" s="21">
        <v>1828807.1899999988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26126280.279999994</v>
      </c>
      <c r="F43" s="21">
        <v>1688575.62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25560655.489999995</v>
      </c>
      <c r="F44" s="21">
        <v>2268966.2200000002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24669126.300000001</v>
      </c>
      <c r="F45" s="21">
        <v>1799947.7500000012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24431629.370000005</v>
      </c>
      <c r="F46" s="21">
        <v>1385927.2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29870834.739999998</v>
      </c>
      <c r="F47" s="21">
        <v>2560198.4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26350269.409999996</v>
      </c>
      <c r="F48" s="21">
        <v>1316536.18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23735924.129999995</v>
      </c>
      <c r="F49" s="21">
        <v>2923857.9599999976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27030098.59</v>
      </c>
      <c r="F50" s="21">
        <v>1365336.4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27182805.280000001</v>
      </c>
      <c r="F51" s="21">
        <v>2410809.0600000005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26966613.459999997</v>
      </c>
      <c r="F52" s="21">
        <v>1226087.0099999974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27567186.43</v>
      </c>
      <c r="F53" s="21">
        <v>1158285.7600000005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28130584.909999996</v>
      </c>
      <c r="F54" s="21">
        <v>1513162.75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32475913.400000002</v>
      </c>
      <c r="F55" s="21">
        <v>2388713.4900000002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24174330.289999995</v>
      </c>
      <c r="F56" s="21">
        <v>2463713.7900000005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25285411.490000002</v>
      </c>
      <c r="F57" s="21">
        <v>1891878.2899999986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28481438.489999998</v>
      </c>
      <c r="F58" s="21">
        <v>803205.83999999799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26281752.359999999</v>
      </c>
      <c r="F59" s="21">
        <v>1967617.9399999981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25748443.07</v>
      </c>
      <c r="F60" s="21">
        <v>2414423.7800000003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26844546.509999998</v>
      </c>
      <c r="F61" s="21">
        <v>2394477.3400000003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27012310</v>
      </c>
      <c r="F62" s="21">
        <v>2581871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29866380.41</v>
      </c>
      <c r="F63" s="21">
        <v>2513685.0600000005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24507582.529999997</v>
      </c>
      <c r="F64" s="21">
        <v>1880917.3700000015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1283220156.6499996</v>
      </c>
      <c r="F66" s="23">
        <f>SUM(F13:F65)</f>
        <v>92477642.429999962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9" t="s">
        <v>9</v>
      </c>
      <c r="B69" s="39"/>
      <c r="C69" s="39"/>
      <c r="D69" s="39"/>
      <c r="E69" s="39"/>
      <c r="F69" s="39"/>
      <c r="G69" s="39"/>
      <c r="H69" s="39"/>
      <c r="I69" s="39"/>
      <c r="J69" s="39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9" t="s">
        <v>11</v>
      </c>
      <c r="B70" s="39"/>
      <c r="C70" s="39"/>
      <c r="D70" s="39"/>
      <c r="E70" s="39"/>
      <c r="F70" s="39"/>
      <c r="G70" s="39"/>
      <c r="H70" s="39"/>
      <c r="I70" s="39"/>
      <c r="J70"/>
      <c r="K70"/>
      <c r="L70"/>
      <c r="M70"/>
      <c r="N70"/>
      <c r="O70"/>
      <c r="P70"/>
      <c r="Q70"/>
      <c r="R70"/>
      <c r="S70"/>
    </row>
    <row r="71" spans="1:19" x14ac:dyDescent="0.25">
      <c r="A71" s="40" t="s">
        <v>10</v>
      </c>
      <c r="B71" s="40"/>
      <c r="C71" s="40"/>
      <c r="D71" s="40"/>
      <c r="E71" s="40"/>
      <c r="F71" s="40"/>
      <c r="G71" s="40"/>
      <c r="H71" s="40"/>
      <c r="I71" s="40"/>
      <c r="J71" s="40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I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67"/>
  <sheetViews>
    <sheetView workbookViewId="0">
      <pane xSplit="1" ySplit="11" topLeftCell="B12" activePane="bottomRight" state="frozen"/>
      <selection activeCell="B33" sqref="B33"/>
      <selection pane="topRight" activeCell="B33" sqref="B33"/>
      <selection pane="bottomLeft" activeCell="B33" sqref="B33"/>
      <selection pane="bottomRight" activeCell="C20" sqref="C20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4.28515625" style="21" bestFit="1" customWidth="1"/>
    <col min="5" max="5" width="8.2851562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4"/>
      <c r="T3" s="4"/>
      <c r="U3" s="4"/>
      <c r="V3" s="4"/>
      <c r="W3" s="4"/>
    </row>
    <row r="4" spans="1:23" s="3" customFormat="1" ht="18" x14ac:dyDescent="0.25">
      <c r="A4" s="29"/>
      <c r="B4" s="29"/>
      <c r="C4" s="29"/>
      <c r="D4" s="29"/>
      <c r="E4" s="29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41" t="s">
        <v>8</v>
      </c>
      <c r="B6" s="37"/>
      <c r="C6" s="37"/>
      <c r="D6" s="37"/>
      <c r="E6" s="37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8" t="s">
        <v>7</v>
      </c>
      <c r="B8" s="38"/>
      <c r="C8" s="38"/>
      <c r="D8" s="38"/>
      <c r="E8" s="38"/>
    </row>
    <row r="9" spans="1:23" s="13" customFormat="1" ht="12" customHeight="1" x14ac:dyDescent="0.2">
      <c r="A9" s="32"/>
      <c r="B9" s="32"/>
      <c r="C9" s="32"/>
      <c r="D9" s="32"/>
      <c r="E9" s="32"/>
    </row>
    <row r="10" spans="1:23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3" s="17" customFormat="1" ht="12" customHeight="1" x14ac:dyDescent="0.2">
      <c r="A11" s="16"/>
      <c r="B11" s="14" t="s">
        <v>0</v>
      </c>
      <c r="C11" s="14"/>
      <c r="D11" s="14" t="s">
        <v>0</v>
      </c>
      <c r="E11" s="14"/>
      <c r="F11" s="14"/>
    </row>
    <row r="12" spans="1:23" s="17" customFormat="1" ht="12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</row>
    <row r="13" spans="1:23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20">
        <f t="shared" si="0"/>
        <v>44584</v>
      </c>
      <c r="B15" s="34">
        <v>40569268.529999994</v>
      </c>
      <c r="C15" s="33"/>
      <c r="D15" s="34">
        <v>2514702.3600000031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20">
        <f t="shared" si="0"/>
        <v>44591</v>
      </c>
      <c r="B16" s="34">
        <v>37503630.429999992</v>
      </c>
      <c r="D16" s="34">
        <v>710277.22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B17" s="34">
        <v>34260675.830000006</v>
      </c>
      <c r="D17" s="34">
        <v>443109.98000000324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B18" s="34">
        <v>43304189.980000004</v>
      </c>
      <c r="D18" s="35">
        <v>-362487.91999999899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B19" s="34">
        <v>39060164.619999997</v>
      </c>
      <c r="D19" s="34">
        <v>2120843.0900000017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B20" s="34">
        <v>37841560.519999996</v>
      </c>
      <c r="D20" s="34">
        <v>1909476.92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B21" s="34">
        <v>38904801.989999995</v>
      </c>
      <c r="D21" s="34">
        <v>1206985.0299999993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B22" s="34">
        <v>40450273.990000002</v>
      </c>
      <c r="D22" s="34">
        <v>2072187.8599999989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B23" s="34">
        <v>43007729.940000005</v>
      </c>
      <c r="D23" s="34">
        <v>1589234.0599999963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B24" s="34">
        <v>36354193.759999998</v>
      </c>
      <c r="D24" s="35">
        <v>-432577.00000004098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3">
        <f>SUM(B13:B24)</f>
        <v>391256489.58999997</v>
      </c>
      <c r="D25" s="23">
        <f>SUM(D13:D24)</f>
        <v>11771751.599999962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A26" s="25" t="s">
        <v>5</v>
      </c>
      <c r="B26" s="24"/>
      <c r="C26" s="24"/>
      <c r="D26" s="24"/>
      <c r="E26" s="24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ht="53.25" customHeight="1" x14ac:dyDescent="0.25">
      <c r="A27" s="39" t="s">
        <v>9</v>
      </c>
      <c r="B27" s="39"/>
      <c r="C27" s="39"/>
      <c r="D27" s="39"/>
      <c r="E27" s="39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27.75" customHeight="1" x14ac:dyDescent="0.25">
      <c r="A28" s="39" t="s">
        <v>11</v>
      </c>
      <c r="B28" s="39"/>
      <c r="C28" s="39"/>
      <c r="D28" s="39"/>
      <c r="E28" s="39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7.75" customHeight="1" x14ac:dyDescent="0.25">
      <c r="A29" s="42" t="s">
        <v>12</v>
      </c>
      <c r="B29" s="42"/>
      <c r="C29" s="42"/>
      <c r="D29" s="42"/>
      <c r="E29" s="42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s="30" customFormat="1" ht="36.75" customHeight="1" x14ac:dyDescent="0.25">
      <c r="A30" s="40" t="s">
        <v>10</v>
      </c>
      <c r="B30" s="40"/>
      <c r="C30" s="40"/>
      <c r="D30" s="40"/>
      <c r="E30" s="40"/>
    </row>
    <row r="31" spans="1:18" x14ac:dyDescent="0.25">
      <c r="E31" s="22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2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2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 s="24"/>
      <c r="G61" s="22"/>
      <c r="K61"/>
      <c r="L61"/>
      <c r="M61"/>
      <c r="N61"/>
      <c r="O61"/>
      <c r="P61"/>
      <c r="Q61"/>
      <c r="R61"/>
    </row>
    <row r="62" spans="1:18" x14ac:dyDescent="0.25">
      <c r="F62" s="24"/>
      <c r="G62" s="22"/>
      <c r="K62"/>
      <c r="L62"/>
      <c r="M62"/>
      <c r="N62"/>
      <c r="O62"/>
      <c r="P62"/>
      <c r="Q62"/>
      <c r="R62"/>
    </row>
    <row r="63" spans="1:18" s="24" customFormat="1" x14ac:dyDescent="0.25">
      <c r="A63" s="6"/>
      <c r="B63" s="21"/>
      <c r="C63" s="21"/>
      <c r="D63" s="21"/>
      <c r="E63" s="21"/>
      <c r="F63" s="21"/>
      <c r="G63" s="21"/>
      <c r="H63" s="22"/>
      <c r="I63" s="21"/>
      <c r="J63" s="21"/>
      <c r="L63" s="22"/>
      <c r="M63" s="21"/>
      <c r="N63" s="21"/>
      <c r="O63" s="21"/>
      <c r="P63" s="21"/>
      <c r="Q63" s="21"/>
      <c r="R63" s="21"/>
    </row>
    <row r="64" spans="1:18" s="24" customFormat="1" x14ac:dyDescent="0.25">
      <c r="A64" s="6"/>
      <c r="B64" s="21"/>
      <c r="C64" s="21"/>
      <c r="D64" s="21"/>
      <c r="E64" s="21"/>
      <c r="F64" s="26"/>
      <c r="G64" s="26"/>
      <c r="H64" s="27"/>
      <c r="I64" s="26"/>
      <c r="J64" s="26"/>
      <c r="L64" s="22"/>
      <c r="M64" s="21"/>
      <c r="N64" s="21"/>
      <c r="O64" s="21"/>
      <c r="P64" s="21"/>
      <c r="Q64" s="21"/>
      <c r="R64" s="21"/>
    </row>
    <row r="65" spans="1:23" x14ac:dyDescent="0.25">
      <c r="G65" s="22"/>
      <c r="K65" s="21"/>
      <c r="L65" s="21"/>
      <c r="S65" s="21"/>
      <c r="T65" s="21"/>
    </row>
    <row r="66" spans="1:23" x14ac:dyDescent="0.25">
      <c r="G66" s="22"/>
      <c r="K66" s="26"/>
      <c r="L66" s="26"/>
      <c r="M66" s="26"/>
      <c r="N66" s="26"/>
      <c r="O66" s="26"/>
      <c r="P66" s="26"/>
      <c r="Q66" s="26"/>
      <c r="S66" s="21"/>
      <c r="T66" s="21"/>
    </row>
    <row r="67" spans="1:23" x14ac:dyDescent="0.25">
      <c r="G67" s="22"/>
    </row>
    <row r="68" spans="1:23" x14ac:dyDescent="0.25">
      <c r="G68" s="22"/>
    </row>
    <row r="69" spans="1:23" x14ac:dyDescent="0.25">
      <c r="G69" s="22"/>
    </row>
    <row r="70" spans="1:23" x14ac:dyDescent="0.25">
      <c r="G70" s="22"/>
    </row>
    <row r="71" spans="1:23" x14ac:dyDescent="0.25">
      <c r="G71" s="22"/>
    </row>
    <row r="72" spans="1:23" x14ac:dyDescent="0.25">
      <c r="G72" s="22"/>
    </row>
    <row r="73" spans="1:23" x14ac:dyDescent="0.25">
      <c r="G73" s="22"/>
    </row>
    <row r="74" spans="1:23" x14ac:dyDescent="0.25">
      <c r="G74" s="22"/>
    </row>
    <row r="75" spans="1:23" x14ac:dyDescent="0.25">
      <c r="G75" s="22"/>
    </row>
    <row r="76" spans="1:23" x14ac:dyDescent="0.25">
      <c r="G76" s="22"/>
    </row>
    <row r="77" spans="1:23" s="21" customFormat="1" x14ac:dyDescent="0.25">
      <c r="A77" s="6"/>
      <c r="G77" s="22"/>
      <c r="K77" s="22"/>
      <c r="L77" s="22"/>
      <c r="S77"/>
      <c r="T77"/>
      <c r="U77"/>
      <c r="V77"/>
      <c r="W77"/>
    </row>
    <row r="78" spans="1:23" s="21" customFormat="1" x14ac:dyDescent="0.25">
      <c r="A78" s="6"/>
      <c r="G78" s="22"/>
      <c r="K78" s="22"/>
      <c r="L78" s="22"/>
      <c r="S78"/>
      <c r="T78"/>
      <c r="U78"/>
      <c r="V78"/>
      <c r="W78"/>
    </row>
    <row r="79" spans="1:23" s="21" customFormat="1" x14ac:dyDescent="0.25">
      <c r="A79" s="6"/>
      <c r="G79" s="22"/>
      <c r="K79" s="22"/>
      <c r="L79" s="22"/>
      <c r="S79"/>
      <c r="T79"/>
      <c r="U79"/>
      <c r="V79"/>
      <c r="W79"/>
    </row>
    <row r="80" spans="1:23" s="21" customFormat="1" x14ac:dyDescent="0.25">
      <c r="A80" s="6"/>
      <c r="G80" s="22"/>
      <c r="K80" s="22"/>
      <c r="L80" s="22"/>
      <c r="S80"/>
      <c r="T80"/>
      <c r="U80"/>
      <c r="V80"/>
      <c r="W80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K167" s="22"/>
      <c r="L167" s="22"/>
      <c r="S167"/>
      <c r="T167"/>
      <c r="U167"/>
      <c r="V167"/>
      <c r="W167"/>
    </row>
  </sheetData>
  <mergeCells count="6">
    <mergeCell ref="A8:E8"/>
    <mergeCell ref="A27:E27"/>
    <mergeCell ref="A30:E30"/>
    <mergeCell ref="A6:E6"/>
    <mergeCell ref="A28:E28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Becker, Tammy (GAMING)</cp:lastModifiedBy>
  <cp:lastPrinted>2026-07-22T16:41:12Z</cp:lastPrinted>
  <dcterms:created xsi:type="dcterms:W3CDTF">2022-01-10T16:49:23Z</dcterms:created>
  <dcterms:modified xsi:type="dcterms:W3CDTF">2026-08-26T19:55:31Z</dcterms:modified>
</cp:coreProperties>
</file>