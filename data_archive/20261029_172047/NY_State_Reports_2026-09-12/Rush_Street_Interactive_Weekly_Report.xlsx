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8C33A4EC-AC3D-4513-B351-E58C28EB2154}" xr6:coauthVersionLast="47" xr6:coauthVersionMax="47" xr10:uidLastSave="{00000000-0000-0000-0000-000000000000}"/>
  <bookViews>
    <workbookView xWindow="-12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5" i="5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14" i="5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<sst xmlns="http://schemas.openxmlformats.org/spreadsheetml/2006/main" count="85" uniqueCount="18">
  <si>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</si>
  <si>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</si>
  <si>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</si>
  <si>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</si>
  <si>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</si>
  <si>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</si>
  <si>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</si>
  <si>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</si>
  <si>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</si>
  <si>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</si>
  <si>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RSI</t>
  </si>
  <si>
    <t xml:space="preserve">2) Mobile Sports Wagering Gross Gaming Revenue (GGR) is taxed at 51%. </t>
  </si>
  <si>
    <t>3) Rush Street Interactive began operating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</si>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</sst>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5" fontId="0" fillId="0" borderId="5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166" fontId="7" fillId="0" borderId="0" xfId="0" applyNumberFormat="1" applyFont="1" applyAlignment="1">
      <alignment horizontal="left" vertical="top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0A91D6-1289-4D22-8127-3D589AA5E83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89136-BDB4-486B-817B-B110683E852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9629EE-5EFF-445F-B5E9-83A30741638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F7C11F-335A-44B7-A03D-37150EE27AE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970EC1-7800-4B53-AC7E-C76FF2E31D1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9528</xdr:rowOff>
    </xdr:from>
    <xdr:to>
      <xdr:col>1</xdr:col>
      <xdr:colOff>280988</xdr:colOff>
      <xdr:row>4</xdr:row>
      <xdr:rowOff>164309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E45BB4-E57F-4B88-A1F1-FA82174221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8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2909-FB83-4959-84D4-C183BA82FE63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38" sqref="J38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10896561.23</v>
      </c>
      <c r="F13" s="23">
        <v>579898.85999999917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12015581.560000001</v>
      </c>
      <c r="F14" s="23">
        <v>1263002.3700000001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9340956.6199999992</v>
      </c>
      <c r="F15" s="23">
        <v>1018438.79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9855289.0699999984</v>
      </c>
      <c r="F16" s="23">
        <v>1123094.189999999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9135699.120000001</v>
      </c>
      <c r="F17" s="23">
        <v>1348556.2200000002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9255336.1799999997</v>
      </c>
      <c r="F18" s="23">
        <v>810390.94999999984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10782482.339999998</v>
      </c>
      <c r="F19" s="23">
        <v>1028841.6200000002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9151987.6999999993</v>
      </c>
      <c r="F20" s="23">
        <v>711417.09999999986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10275059.050000001</v>
      </c>
      <c r="F21" s="23">
        <v>979670.9700000002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9393447.870000001</v>
      </c>
      <c r="F22" s="23">
        <v>78997.400000000605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8464883.4100000001</v>
      </c>
      <c r="F23" s="23">
        <v>890552.73000000021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9960026.2100000009</v>
      </c>
      <c r="F24" s="23">
        <v>41379.209999999264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10970067.189999999</v>
      </c>
      <c r="F25" s="23">
        <v>534031.21999999962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11826560.98</v>
      </c>
      <c r="F26" s="23">
        <v>1177585.1700000009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11504454.380000001</v>
      </c>
      <c r="F27" s="23">
        <v>708615.91000000015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9785622.8800000008</v>
      </c>
      <c r="F28" s="23">
        <v>893399.48000000068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8559148.1900000013</v>
      </c>
      <c r="F29" s="23">
        <v>857671.97000000055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7583965.0999999996</v>
      </c>
      <c r="F30" s="23">
        <v>470004.74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8336994.5399999991</v>
      </c>
      <c r="F31" s="23">
        <v>1070350.1699999995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9053829.9299999997</v>
      </c>
      <c r="F32" s="23">
        <v>540467.99000000092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8456560.0999999996</v>
      </c>
      <c r="F33" s="23">
        <v>1034164.5200000004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7937852.3799999999</v>
      </c>
      <c r="F34" s="23">
        <v>926075.4499999996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8585058.290000001</v>
      </c>
      <c r="F35" s="23">
        <v>755239.33000000019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10118207.57</v>
      </c>
      <c r="F36" s="23">
        <v>1066033.0600000003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2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2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2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2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2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2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231245631.88999993</v>
      </c>
      <c r="F67" s="34">
        <f>SUM(F13:F66)</f>
        <v>19907879.419999998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F18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33FC1-8E29-4E1B-AFD8-75E45C5DC793}">
  <sheetPr>
    <pageSetUpPr fitToPage="1"/>
  </sheetPr>
  <dimension ref="A1:X208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K66" sqref="K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16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11905992.57</v>
      </c>
      <c r="F13" s="23">
        <v>-116576.54000000004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11573677.359999999</v>
      </c>
      <c r="F14" s="23">
        <v>1134740.9800000002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9290602.3300000001</v>
      </c>
      <c r="F15" s="23">
        <v>900287.12000000011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9447528.370000001</v>
      </c>
      <c r="F16" s="23">
        <v>583186.30000000051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10334135.710000001</v>
      </c>
      <c r="F17" s="23">
        <v>897650.99000000022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10773700.950000001</v>
      </c>
      <c r="F18" s="23">
        <v>484947.81999999983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10716800.09</v>
      </c>
      <c r="F19" s="23">
        <v>944454.7999999997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11061517.59</v>
      </c>
      <c r="F20" s="23">
        <v>757570.74000000022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10843957.549999999</v>
      </c>
      <c r="F21" s="23">
        <v>997348.47999999986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12640565.27</v>
      </c>
      <c r="F22" s="23">
        <v>1094511.71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10340232.039999999</v>
      </c>
      <c r="F23" s="23">
        <v>790123.2000000003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9722116.0800000001</v>
      </c>
      <c r="F24" s="23">
        <v>1001982.4799999999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9211481.3900000006</v>
      </c>
      <c r="F25" s="23">
        <v>971343.16000000038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8273958.919999999</v>
      </c>
      <c r="F26" s="23">
        <v>669371.70999999985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8864152.25</v>
      </c>
      <c r="F27" s="23">
        <v>971864.42000000039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7812760.0600000005</v>
      </c>
      <c r="F28" s="23">
        <v>440375.25999999978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6246346.8600000003</v>
      </c>
      <c r="F29" s="23">
        <v>937473.58000000007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8494110.4600000009</v>
      </c>
      <c r="F30" s="23">
        <v>658590.18000000005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8801289.2699999996</v>
      </c>
      <c r="F31" s="23">
        <v>908816.12999999954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8154143.4500000002</v>
      </c>
      <c r="F32" s="23">
        <v>776444.22999999975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9101355.5600000005</v>
      </c>
      <c r="F33" s="23">
        <v>823473.73999999953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8939006.7599999998</v>
      </c>
      <c r="F34" s="23">
        <v>854385.24000000046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10468503.49</v>
      </c>
      <c r="F35" s="23">
        <v>1211704.6600000001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11581616.15</v>
      </c>
      <c r="F36" s="23">
        <v>774861.62999999849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10379827.09</v>
      </c>
      <c r="F37" s="23">
        <v>1054140.9199999995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10712083.65</v>
      </c>
      <c r="F38" s="23">
        <v>514235.8800000014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10823167.050000001</v>
      </c>
      <c r="F39" s="23">
        <v>1221864.1700000002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13019875.620000001</v>
      </c>
      <c r="F40" s="23">
        <v>568011.51000000024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11598933.82</v>
      </c>
      <c r="F41" s="23">
        <v>1301700.3899999994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11520257.840000002</v>
      </c>
      <c r="F42" s="23">
        <v>930216.30000000086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12070103.99</v>
      </c>
      <c r="F43" s="23">
        <v>859540.20999999926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11888040.039999999</v>
      </c>
      <c r="F44" s="23">
        <v>828900.29000000027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11985427.890000001</v>
      </c>
      <c r="F45" s="23">
        <v>1176231.6499999999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10476911.750000002</v>
      </c>
      <c r="F46" s="23">
        <v>906948.90000000049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10607390.76</v>
      </c>
      <c r="F47" s="23">
        <v>782043.54999999958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12117364.27</v>
      </c>
      <c r="F48" s="23">
        <v>1117450.3999999994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12223620.790000001</v>
      </c>
      <c r="F49" s="23">
        <v>1276964.3500000003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11135286.83</v>
      </c>
      <c r="F50" s="23">
        <v>554776.30000000028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14438086.359999999</v>
      </c>
      <c r="F51" s="23">
        <v>880559.30999999936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11298646.109999999</v>
      </c>
      <c r="F52" s="23">
        <v>813827.59999999893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12351520.43</v>
      </c>
      <c r="F53" s="23">
        <v>1338144.8199999996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11498284.299999999</v>
      </c>
      <c r="F54" s="23">
        <v>788625.33999999915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11523390.08</v>
      </c>
      <c r="F55" s="23">
        <v>1471295.1899999995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12283604.939999999</v>
      </c>
      <c r="F56" s="23">
        <v>659174.59000000008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10788628.739999998</v>
      </c>
      <c r="F57" s="23">
        <v>1337268.6399999994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12619048.240000002</v>
      </c>
      <c r="F58" s="23">
        <v>910846.5299999998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11349266.77</v>
      </c>
      <c r="F59" s="23">
        <v>1078871.73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11401177.060000002</v>
      </c>
      <c r="F60" s="23">
        <v>976757.24999999965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12806049.069999998</v>
      </c>
      <c r="F61" s="23">
        <v>964867.40000000026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12072843.829999998</v>
      </c>
      <c r="F62" s="23">
        <v>1340900.8199999998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12868484.75</v>
      </c>
      <c r="F63" s="23">
        <v>1306510.8699999994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11324473.810000001</v>
      </c>
      <c r="F64" s="23">
        <v>1227729.1399999997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563781346.40999997</v>
      </c>
      <c r="F67" s="34">
        <f>SUM(F13:F66)</f>
        <v>47657336.07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A58C-A0B9-463B-8A46-DBBE7F7834BF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15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11123931.869999999</v>
      </c>
      <c r="F13" s="21">
        <v>975829.8700000036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12700740.939999994</v>
      </c>
      <c r="F14" s="21">
        <v>1021497.9999999949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27355782.260000013</v>
      </c>
      <c r="F15" s="21">
        <v>248702.51000002725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12720082.889999997</v>
      </c>
      <c r="F16" s="21">
        <v>796623.62999999418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11610886.489999995</v>
      </c>
      <c r="F17" s="21">
        <v>869855.95000000019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11345336.459999995</v>
      </c>
      <c r="F18" s="21">
        <v>169783.81000000308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11405874.810000001</v>
      </c>
      <c r="F19" s="21">
        <v>963431.28000000853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10277252.839999994</v>
      </c>
      <c r="F20" s="21">
        <v>1054842.1299999971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8610034.2699999996</v>
      </c>
      <c r="F21" s="21">
        <v>1062246.939999993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9995391.5599999987</v>
      </c>
      <c r="F22" s="21">
        <v>588789.07000000076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19712429.41</v>
      </c>
      <c r="F23" s="21">
        <v>512884.95999998809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24925981.919999998</v>
      </c>
      <c r="F24" s="21">
        <v>712207.62999998382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9722765.9499999974</v>
      </c>
      <c r="F25" s="21">
        <v>854785.37999999733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11010401.709999997</v>
      </c>
      <c r="F26" s="21">
        <v>545686.17999999668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9129988.849999994</v>
      </c>
      <c r="F27" s="21">
        <v>821220.47999999777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8813971.6600000001</v>
      </c>
      <c r="F28" s="21">
        <v>917407.87999999966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7486744.5600000005</v>
      </c>
      <c r="F29" s="21">
        <v>729012.69000000088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6698916.2899999972</v>
      </c>
      <c r="F30" s="21">
        <v>763005.64999999723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8737940.5500000007</v>
      </c>
      <c r="F31" s="21">
        <v>500771.9799999973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9105359.9600000028</v>
      </c>
      <c r="F32" s="21">
        <v>645042.4900000015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7815702.2300000032</v>
      </c>
      <c r="F33" s="21">
        <v>711778.10000000033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7003230.8699999982</v>
      </c>
      <c r="F34" s="21">
        <v>672189.199999996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13142192.160000002</v>
      </c>
      <c r="F35" s="21">
        <v>1032041.4700000106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12224655.690000001</v>
      </c>
      <c r="F36" s="21">
        <v>669462.21000000043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10111325.25</v>
      </c>
      <c r="F37" s="21">
        <v>913880.02000000223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9254205.3699999973</v>
      </c>
      <c r="F38" s="21">
        <v>891883.73999999708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8888822.7599999979</v>
      </c>
      <c r="F39" s="21">
        <v>900741.29999999946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9354793.6499999966</v>
      </c>
      <c r="F40" s="21">
        <v>1042290.409999996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10489465.350000001</v>
      </c>
      <c r="F41" s="21">
        <v>503899.58999999624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11106027.51</v>
      </c>
      <c r="F42" s="21">
        <v>495547.47000000277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10819411.220000001</v>
      </c>
      <c r="F43" s="21">
        <v>1068423.330000001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10864920.250000004</v>
      </c>
      <c r="F44" s="21">
        <v>480531.19999999925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10859476.929999998</v>
      </c>
      <c r="F45" s="21">
        <v>1058200.5599999935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10127024.770000005</v>
      </c>
      <c r="F46" s="21">
        <v>797580.10000000149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10803365.789999997</v>
      </c>
      <c r="F47" s="21">
        <v>1128564.5799999991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12182959.609999999</v>
      </c>
      <c r="F48" s="21">
        <v>1162585.1199999994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10594925.130000003</v>
      </c>
      <c r="F49" s="21">
        <v>648691.05999999645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9516035.8499999959</v>
      </c>
      <c r="F50" s="21">
        <v>501328.87999999791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10890536.539999999</v>
      </c>
      <c r="F51" s="21">
        <v>708625.91000000155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10064048.83</v>
      </c>
      <c r="F52" s="21">
        <v>955031.55000000552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12137504.469999989</v>
      </c>
      <c r="F53" s="21">
        <v>802322.91999999341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10647710.659999996</v>
      </c>
      <c r="F54" s="21">
        <v>986846.05999999598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11669764.540000001</v>
      </c>
      <c r="F55" s="21">
        <v>867328.42000000924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10310793.270000001</v>
      </c>
      <c r="F56" s="21">
        <v>502830.60000000615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10684162.019999998</v>
      </c>
      <c r="F57" s="21">
        <v>1173220.2999999975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11729076.930000005</v>
      </c>
      <c r="F58" s="21">
        <v>311834.61000000872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10152610.089999998</v>
      </c>
      <c r="F59" s="21">
        <v>894666.25000000128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8734118.9799999986</v>
      </c>
      <c r="F60" s="21">
        <v>978308.70999999612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11411191.619999995</v>
      </c>
      <c r="F61" s="21">
        <v>486885.60999999684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11045600.779999997</v>
      </c>
      <c r="F62" s="21">
        <v>745269.57999999332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11837909.529999999</v>
      </c>
      <c r="F63" s="21">
        <v>765691.7500000007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11294246.489999998</v>
      </c>
      <c r="F64" s="21">
        <v>1026750.93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580257630.38999987</v>
      </c>
      <c r="F67" s="24">
        <f>SUM(F13:F66)</f>
        <v>40638860.049999975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3C64-2127-4C4B-8D8E-CFE542FEEE82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11079331.729999999</v>
      </c>
      <c r="F13" s="21">
        <v>662211.26999999827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12547654.530000003</v>
      </c>
      <c r="F14" s="23">
        <v>-1031811.3800000031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12612144.499999998</v>
      </c>
      <c r="F15" s="21">
        <v>37777.890000009997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10200636.060000001</v>
      </c>
      <c r="F16" s="21">
        <v>865191.8300000038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9925698.1700000037</v>
      </c>
      <c r="F17" s="21">
        <v>850272.2599999978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8863432.6599999983</v>
      </c>
      <c r="F18" s="21">
        <v>1024609.2900000052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8187202.0200000014</v>
      </c>
      <c r="F19" s="21">
        <v>604416.87999999954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8174441.830000001</v>
      </c>
      <c r="F20" s="21">
        <v>693188.97000000207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7258563.8600000013</v>
      </c>
      <c r="F21" s="21">
        <v>458670.97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8958249.2099999934</v>
      </c>
      <c r="F22" s="21">
        <v>735569.9800000001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7368109.1499999994</v>
      </c>
      <c r="F23" s="21">
        <v>295484.77999999747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6689153.5500000007</v>
      </c>
      <c r="F24" s="21">
        <v>557757.549999999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7433030.6999999993</v>
      </c>
      <c r="F25" s="21">
        <v>406554.9299999997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7544535.9399999995</v>
      </c>
      <c r="F26" s="21">
        <v>547982.46000000008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8907716.3900000025</v>
      </c>
      <c r="F27" s="21">
        <v>604689.12000000093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6610759.3499999987</v>
      </c>
      <c r="F28" s="21">
        <v>687991.3499999987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8474420.9499999993</v>
      </c>
      <c r="F29" s="21">
        <v>774868.55999999703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7909919.2599999998</v>
      </c>
      <c r="F30" s="21">
        <v>877430.28999999841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7931548.479999993</v>
      </c>
      <c r="F31" s="21">
        <v>492380.59999999334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8388101.2299999967</v>
      </c>
      <c r="F32" s="21">
        <v>518068.7399999972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8541999.0899999961</v>
      </c>
      <c r="F33" s="21">
        <v>917718.73999999394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7232269.6799999978</v>
      </c>
      <c r="F34" s="21">
        <v>794849.02999999525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10076990.18</v>
      </c>
      <c r="F35" s="21">
        <v>915055.43000000017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9614203.9799999986</v>
      </c>
      <c r="F36" s="21">
        <v>934545.96000000392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10198124.800000006</v>
      </c>
      <c r="F37" s="21">
        <v>1030666.8700000133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11540691.319999993</v>
      </c>
      <c r="F38" s="21">
        <v>1184811.7299999967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18222042.310000006</v>
      </c>
      <c r="F39" s="23">
        <v>-505562.3900000063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17498545.839999996</v>
      </c>
      <c r="F40" s="21">
        <v>1320360.0299999993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22705349.559999999</v>
      </c>
      <c r="F41" s="21">
        <v>383836.39999999944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42178179.320000008</v>
      </c>
      <c r="F42" s="23">
        <v>-1640476.7200000109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21531901.889999993</v>
      </c>
      <c r="F43" s="23">
        <v>3867755.2000000076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18835233.789999999</v>
      </c>
      <c r="F44" s="21">
        <v>1336923.3400000033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15464665.850000001</v>
      </c>
      <c r="F45" s="21">
        <v>1437118.7200000072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22108831.77</v>
      </c>
      <c r="F46" s="21">
        <v>1098750.1800000074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17286783.839999992</v>
      </c>
      <c r="F47" s="21">
        <v>771267.67000000435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15938846.759999994</v>
      </c>
      <c r="F48" s="21">
        <v>1107822.120000005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11658313.949999999</v>
      </c>
      <c r="F49" s="21">
        <v>1082780.4299999971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9394717.0100000035</v>
      </c>
      <c r="F50" s="21">
        <v>335745.68000000977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10960289.919999994</v>
      </c>
      <c r="F51" s="21">
        <v>812251.68999999831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11704170.109999996</v>
      </c>
      <c r="F52" s="21">
        <v>689995.38000000245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14019899.419999998</v>
      </c>
      <c r="F53" s="21">
        <v>653339.72999999835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10697296.069999995</v>
      </c>
      <c r="F54" s="21">
        <v>1185780.1299999997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12300093.129999997</v>
      </c>
      <c r="F55" s="21">
        <v>740619.54000000795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9251296.8299999982</v>
      </c>
      <c r="F56" s="21">
        <v>605194.93000000005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10399318.900000006</v>
      </c>
      <c r="F57" s="21">
        <v>680226.78000001039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12207295.459999999</v>
      </c>
      <c r="F58" s="23">
        <v>179966.34999999823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11444324.849999998</v>
      </c>
      <c r="F59" s="21">
        <v>902354.38000000129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11013930.839999992</v>
      </c>
      <c r="F60" s="21">
        <v>1097047.21999999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13121113.920000004</v>
      </c>
      <c r="F61" s="21">
        <v>831333.21000000252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12731320.68</v>
      </c>
      <c r="F62" s="21">
        <v>841928.79999999376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20290601.110000007</v>
      </c>
      <c r="F63" s="21">
        <v>616199.20999999763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18394607.899999999</v>
      </c>
      <c r="F64" s="21">
        <v>944749.00000000827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643627899.64999998</v>
      </c>
      <c r="F67" s="24">
        <f>SUM(F13:F66)</f>
        <v>37818261.110000029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1A0B-A904-457B-9556-748BC7E87A71}">
  <sheetPr>
    <pageSetUpPr fitToPage="1"/>
  </sheetPr>
  <dimension ref="A1:X207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C65" sqref="C6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13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8185567.0700000012</v>
      </c>
      <c r="F13" s="21">
        <v>324623.83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9254760.7699999996</v>
      </c>
      <c r="F14" s="21">
        <v>413504.09999999986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7544834.2999999998</v>
      </c>
      <c r="F15" s="21">
        <v>236575.40999999968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9798122.6199999992</v>
      </c>
      <c r="F16" s="21">
        <v>679843.21999999962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8231281.2699999996</v>
      </c>
      <c r="F17" s="21">
        <v>384558.26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7549694.3500000006</v>
      </c>
      <c r="F18" s="21">
        <v>736298.90000000037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7177595.7999999998</v>
      </c>
      <c r="F19" s="21">
        <v>603015.47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6583926.5900000008</v>
      </c>
      <c r="F20" s="21">
        <v>284688.82999999996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6965401.2199999997</v>
      </c>
      <c r="F21" s="21">
        <v>39569.550000000003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7361038.8899999997</v>
      </c>
      <c r="F22" s="21">
        <v>407122.08999999985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5470900.0899999999</v>
      </c>
      <c r="F23" s="21">
        <v>483504.55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6137745.04</v>
      </c>
      <c r="F24" s="21">
        <v>329339.65000000002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5285712.07</v>
      </c>
      <c r="F25" s="21">
        <v>323273.93999999959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5818166.5300000003</v>
      </c>
      <c r="F26" s="21">
        <v>407199.7699999999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4970684.8</v>
      </c>
      <c r="F27" s="21">
        <v>511424.70999999985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4493100.92</v>
      </c>
      <c r="F28" s="21">
        <v>252225.56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3590542.0999999996</v>
      </c>
      <c r="F29" s="21">
        <v>155316.39000000028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4504709.82</v>
      </c>
      <c r="F30" s="21">
        <v>254754.85999999807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4734019.8</v>
      </c>
      <c r="F31" s="21">
        <v>398299.58999999968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5697548.1100000022</v>
      </c>
      <c r="F32" s="21">
        <v>354023.95000000106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6804171.4300000025</v>
      </c>
      <c r="F33" s="21">
        <v>544985.04000000167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6308364.5300000012</v>
      </c>
      <c r="F34" s="21">
        <v>410632.58999999741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7102139.6899999985</v>
      </c>
      <c r="F35" s="21">
        <v>577243.67000000179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8610345.1899999995</v>
      </c>
      <c r="F36" s="21">
        <v>642761.44000000018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7765052.8900000025</v>
      </c>
      <c r="F37" s="21">
        <v>613409.22999999928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8797192.799999997</v>
      </c>
      <c r="F38" s="21">
        <v>454251.89999999304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10112118.759999996</v>
      </c>
      <c r="F39" s="21">
        <v>32266.149999990012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8781479.8300000001</v>
      </c>
      <c r="F40" s="21">
        <v>857327.82999999425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8418537.9600000009</v>
      </c>
      <c r="F41" s="21">
        <v>690995.00000000582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9649695.9499999974</v>
      </c>
      <c r="F42" s="21">
        <v>633599.94999999239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9133743.0300000012</v>
      </c>
      <c r="F43" s="21">
        <v>252815.949999998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9958359.9600000065</v>
      </c>
      <c r="F44" s="21">
        <v>1006307.9600000062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7728114.889999995</v>
      </c>
      <c r="F45" s="21">
        <v>485491.539999992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8202700.4399999985</v>
      </c>
      <c r="F46" s="21">
        <v>470829.09999999288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10732805.239999995</v>
      </c>
      <c r="F47" s="21">
        <v>477679.94999999763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10586753.560000002</v>
      </c>
      <c r="F48" s="21">
        <v>96239.420000005499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9806668.3300000001</v>
      </c>
      <c r="F49" s="21">
        <v>768731.44999999425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9584100.8099999987</v>
      </c>
      <c r="F50" s="21">
        <v>310696.230000004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8242151.3499999978</v>
      </c>
      <c r="F51" s="21">
        <v>597114.329999996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10494789.4</v>
      </c>
      <c r="F52" s="21">
        <v>342416.35999999044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9711321.9199999999</v>
      </c>
      <c r="F53" s="21">
        <v>277860.62000000488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10842573.699999994</v>
      </c>
      <c r="F54" s="21">
        <v>425646.5499999962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10933935.779999999</v>
      </c>
      <c r="F55" s="21">
        <v>1141395.3699999973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11670881.74</v>
      </c>
      <c r="F56" s="21">
        <v>345593.14000000467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9152395.9699999988</v>
      </c>
      <c r="F57" s="21">
        <v>1226223.4600000002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8964975.9499999993</v>
      </c>
      <c r="F58" s="23">
        <v>-61909.32999999763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9558874.370000001</v>
      </c>
      <c r="F59" s="21">
        <v>582200.0499999969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9275587.7600000016</v>
      </c>
      <c r="F60" s="21">
        <v>635659.81999999541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10587341.250000002</v>
      </c>
      <c r="F61" s="21">
        <v>719695.45999999461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11830920</v>
      </c>
      <c r="F62" s="21">
        <v>691898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11568309</v>
      </c>
      <c r="F63" s="21">
        <v>1169148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11340421.980000006</v>
      </c>
      <c r="F64" s="21">
        <v>744965.01000000536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SUM(C13:C65)</f>
        <v>431612177.61999995</v>
      </c>
      <c r="F66" s="24">
        <f>SUM(F13:F65)</f>
        <v>25743333.869999945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10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5"/>
      <c r="I101" s="22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s="25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5" customFormat="1" x14ac:dyDescent="0.25">
      <c r="B104" s="6"/>
      <c r="C104" s="21"/>
      <c r="D104" s="21"/>
      <c r="E104" s="21"/>
      <c r="F104" s="21"/>
      <c r="G104" s="21"/>
      <c r="H104" s="27"/>
      <c r="I104" s="27"/>
      <c r="J104" s="28"/>
      <c r="K104" s="27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7"/>
      <c r="M106" s="27"/>
      <c r="N106" s="27"/>
      <c r="O106" s="27"/>
      <c r="P106" s="27"/>
      <c r="Q106" s="27"/>
      <c r="R106" s="27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4 E17:F34">
    <cfRule type="cellIs" dxfId="1" priority="7" operator="equal">
      <formula>0</formula>
    </cfRule>
  </conditionalFormatting>
  <conditionalFormatting sqref="C35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H26" sqref="H26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A4" s="32"/>
      <c r="B4" s="32"/>
      <c r="C4" s="32"/>
      <c r="D4" s="32"/>
      <c r="E4" s="32"/>
      <c r="F4" s="3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8</v>
      </c>
      <c r="B6" s="41"/>
      <c r="C6" s="41"/>
      <c r="D6" s="41"/>
      <c r="E6" s="42"/>
      <c r="F6" s="30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36" t="s">
        <v>7</v>
      </c>
      <c r="B8" s="36"/>
      <c r="C8" s="36"/>
      <c r="D8" s="36"/>
      <c r="E8" s="36"/>
      <c r="F8" s="36"/>
    </row>
    <row r="9" spans="1:24" s="13" customFormat="1" ht="12" customHeight="1" x14ac:dyDescent="0.2">
      <c r="A9" s="33"/>
      <c r="B9" s="33"/>
      <c r="C9" s="33"/>
      <c r="D9" s="33"/>
      <c r="E9" s="33"/>
      <c r="F9" s="33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B13" s="21">
        <v>2136535.4300000002</v>
      </c>
      <c r="D13" s="23">
        <v>517129.49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B14" s="21">
        <v>8497137.0800000001</v>
      </c>
      <c r="D14" s="23">
        <v>-70433.27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B15" s="21">
        <v>11561320.109999999</v>
      </c>
      <c r="D15" s="23">
        <v>784796.97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B16" s="21">
        <v>10229325.24</v>
      </c>
      <c r="D16" s="23">
        <v>-394458.21000000008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8437014.0999999996</v>
      </c>
      <c r="D17" s="23">
        <v>762242.96999999974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11499207.770000001</v>
      </c>
      <c r="D18" s="23">
        <v>284624.70999999996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8750825.2200000007</v>
      </c>
      <c r="D19" s="21">
        <v>535744.69000000018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8481024.7400000002</v>
      </c>
      <c r="D20" s="21">
        <v>598148.53999999992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8850262.8000000007</v>
      </c>
      <c r="D21" s="21">
        <v>549318.1599999998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10649132.16</v>
      </c>
      <c r="D22" s="21">
        <v>372389.83999999939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10950090.770000001</v>
      </c>
      <c r="D23" s="21">
        <v>718167.15000000026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8040397.540000001</v>
      </c>
      <c r="D24" s="23">
        <v>-48364.560000000056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4">
        <f>SUM(B13:B24)</f>
        <v>108082272.95999999</v>
      </c>
      <c r="D25" s="24">
        <f>SUM(D13:D24)</f>
        <v>4609306.4799999986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5"/>
      <c r="C26" s="25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6" t="s">
        <v>5</v>
      </c>
      <c r="B27" s="25"/>
      <c r="C27" s="25"/>
      <c r="D27" s="25"/>
      <c r="E27" s="25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3" t="s">
        <v>9</v>
      </c>
      <c r="B28" s="43"/>
      <c r="C28" s="43"/>
      <c r="D28" s="43"/>
      <c r="E28" s="43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3" t="s">
        <v>11</v>
      </c>
      <c r="B29" s="43"/>
      <c r="C29" s="43"/>
      <c r="D29" s="43"/>
      <c r="E29" s="43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39" t="s">
        <v>12</v>
      </c>
      <c r="B30" s="39"/>
      <c r="C30" s="39"/>
      <c r="D30" s="39"/>
      <c r="E30" s="39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6.75" customHeight="1" x14ac:dyDescent="0.25">
      <c r="A31" s="44" t="s">
        <v>10</v>
      </c>
      <c r="B31" s="44"/>
      <c r="C31" s="44"/>
      <c r="D31" s="44"/>
      <c r="E31" s="44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4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4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4:19" x14ac:dyDescent="0.25">
      <c r="D35" s="39"/>
      <c r="E35" s="39"/>
      <c r="F35" s="39"/>
      <c r="G35" s="39"/>
      <c r="H35" s="39"/>
      <c r="I35"/>
      <c r="J35"/>
      <c r="K35"/>
      <c r="L35"/>
      <c r="M35"/>
      <c r="N35"/>
      <c r="O35"/>
      <c r="P35"/>
      <c r="Q35"/>
      <c r="R35"/>
      <c r="S35"/>
    </row>
    <row r="36" spans="4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4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4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4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4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4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4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4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4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4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4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4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4:19" x14ac:dyDescent="0.25">
      <c r="E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/>
      <c r="H62"/>
      <c r="L62"/>
      <c r="M62"/>
      <c r="N62"/>
      <c r="O62"/>
      <c r="P62"/>
      <c r="Q62"/>
      <c r="R62"/>
      <c r="S62"/>
    </row>
    <row r="63" spans="1:19" x14ac:dyDescent="0.25">
      <c r="G63" s="25"/>
      <c r="H63" s="22"/>
      <c r="L63"/>
      <c r="M63"/>
      <c r="N63"/>
      <c r="O63"/>
      <c r="P63"/>
      <c r="Q63"/>
      <c r="R63"/>
      <c r="S63"/>
    </row>
    <row r="64" spans="1:19" s="25" customFormat="1" x14ac:dyDescent="0.25">
      <c r="A64" s="6"/>
      <c r="B64" s="21"/>
      <c r="C64" s="21"/>
      <c r="D64" s="21"/>
      <c r="E64" s="21"/>
      <c r="F64" s="21"/>
      <c r="H64" s="22"/>
      <c r="I64" s="22"/>
      <c r="J64" s="21"/>
      <c r="K64" s="21"/>
      <c r="M64" s="22"/>
      <c r="N64" s="21"/>
      <c r="O64" s="21"/>
      <c r="P64" s="21"/>
      <c r="Q64" s="21"/>
      <c r="R64" s="21"/>
      <c r="S64" s="21"/>
    </row>
    <row r="65" spans="1:24" s="25" customFormat="1" x14ac:dyDescent="0.25">
      <c r="A65" s="6"/>
      <c r="B65" s="21"/>
      <c r="C65" s="21"/>
      <c r="D65" s="21"/>
      <c r="E65" s="21"/>
      <c r="F65" s="21"/>
      <c r="G65" s="21"/>
      <c r="H65" s="21"/>
      <c r="I65" s="28"/>
      <c r="J65" s="27"/>
      <c r="K65" s="27"/>
      <c r="M65" s="22"/>
      <c r="N65" s="21"/>
      <c r="O65" s="21"/>
      <c r="P65" s="21"/>
      <c r="Q65" s="21"/>
      <c r="R65" s="21"/>
      <c r="S65" s="21"/>
    </row>
    <row r="66" spans="1:24" x14ac:dyDescent="0.25">
      <c r="G66" s="27"/>
      <c r="H66" s="27"/>
      <c r="L66" s="21"/>
      <c r="M66" s="21"/>
      <c r="T66" s="21"/>
      <c r="U66" s="21"/>
    </row>
    <row r="67" spans="1:24" x14ac:dyDescent="0.25">
      <c r="H67" s="22"/>
      <c r="L67" s="27"/>
      <c r="M67" s="27"/>
      <c r="N67" s="27"/>
      <c r="O67" s="27"/>
      <c r="P67" s="27"/>
      <c r="Q67" s="27"/>
      <c r="R67" s="27"/>
      <c r="T67" s="21"/>
      <c r="U67" s="21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x14ac:dyDescent="0.25">
      <c r="H77" s="22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H166" s="22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H167" s="22"/>
      <c r="L167" s="22"/>
      <c r="M167" s="22"/>
      <c r="T167"/>
      <c r="U167"/>
      <c r="V167"/>
      <c r="W167"/>
      <c r="X167"/>
    </row>
    <row r="168" spans="1:24" s="21" customFormat="1" x14ac:dyDescent="0.25">
      <c r="A168" s="6"/>
      <c r="L168" s="22"/>
      <c r="M168" s="22"/>
      <c r="T168"/>
      <c r="U168"/>
      <c r="V168"/>
      <c r="W168"/>
      <c r="X168"/>
    </row>
  </sheetData>
  <mergeCells count="7">
    <mergeCell ref="D35:H35"/>
    <mergeCell ref="A30:E30"/>
    <mergeCell ref="A8:F8"/>
    <mergeCell ref="A6:E6"/>
    <mergeCell ref="A28:E28"/>
    <mergeCell ref="A31:E31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2026-07-29T15:52:39Z</cp:lastPrinted>
  <dcterms:created xsi:type="dcterms:W3CDTF">2022-01-10T16:49:23Z</dcterms:created>
  <dcterms:modified xsi:type="dcterms:W3CDTF">2026-09-09T16:03:01Z</dcterms:modified>
</cp:coreProperties>
</file>