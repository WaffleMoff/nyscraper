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D6CCF880-3D9F-4781-B684-A9EC0B7C56FE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8" r:id="rId1"/>
    <sheet name="FY 25-26" sheetId="7" r:id="rId2"/>
    <sheet name="FY 24-25 ESPN" sheetId="6" r:id="rId3"/>
    <sheet name="FY 24-25" sheetId="5" r:id="rId4"/>
    <sheet name="FY 23-24" sheetId="4" r:id="rId5"/>
    <sheet name="FY22-23" sheetId="3" r:id="rId6"/>
    <sheet name="FY21-22" sheetId="1" r:id="rId7"/>
  </sheets>
  <definedNames>
    <definedName name="_xlnm.Print_Area" localSheetId="4">'FY 23-24'!$A$1:$J$72</definedName>
    <definedName name="_xlnm.Print_Area" localSheetId="3">'FY 24-25'!$A$1:$J$73</definedName>
    <definedName name="_xlnm.Print_Area" localSheetId="2">'FY 24-25 ESPN'!$A$1:$J$73</definedName>
    <definedName name="_xlnm.Print_Area" localSheetId="1">'FY 25-26'!$A$1:$J$73</definedName>
    <definedName name="_xlnm.Print_Area" localSheetId="0">'FY 26-27'!$A$1:$J$72</definedName>
    <definedName name="_xlnm.Print_Area" localSheetId="5">'FY22-23'!$A$1:$J$71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8" l="1"/>
  <c r="F67" i="8"/>
  <c r="C67" i="8"/>
  <c r="A14" i="8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C67" i="6"/>
  <c r="F67" i="6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<sst xmlns="http://schemas.openxmlformats.org/spreadsheetml/2006/main" count="102" uniqueCount="24">
  <si>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</si>
  <si>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</si>
  <si>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</si>
  <si>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</si>
  <si>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</si>
  <si>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</si>
  <si>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</si>
  <si>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</si>
  <si>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</si>
  <si>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</si>
  <si>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Wynn</t>
  </si>
  <si>
    <t xml:space="preserve">2) Mobile Sports Wagering Gross Gaming Revenue (GGR) is taxed at 51%. </t>
  </si>
  <si>
    <t>3) Wynn Interactive Sportsbook began operating in NY on 2/3/22.</t>
  </si>
  <si>
    <t xml:space="preserve"> Fiscal Year 2022/2023</t>
  </si>
  <si>
    <t xml:space="preserve"> Fiscal Year 2023/2024</t>
  </si>
  <si>
    <t xml:space="preserve"> Fiscal Year 2024/2025</t>
  </si>
  <si>
    <t>Report compiled by the New York State Gaming Commission based on data provided by ESPN Bet</t>
  </si>
  <si>
    <t>3) Wynn Interactive discontinured operations in New York on 7/28/2024</t>
  </si>
  <si>
    <t>3) ESPN Bet began operating on 9/26/2024</t>
  </si>
  <si>
    <t xml:space="preserve"> Fiscal Year 2025/2026</t>
  </si>
  <si>
    <t>Report compiled by the New York State Gaming Commission based on data provided by theScore Bet, previously ESPN Bet</t>
  </si>
  <si>
    <t xml:space="preserve"> Fiscal Year 2026/2027</t>
  </si>
  <si>
    <t>3) ESPN Bet was rebranded as theScore Bet as of week ending 12/07/2025.</t>
  </si>
  <si>
    <t>Report compiled by the New York State Gaming Commission based on data provided by theScore 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</si>
</sst>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mm/dd/yy;@"/>
    <numFmt numFmtId="166" formatCode="0.00%_);[Red]\(0.00%\)"/>
    <numFmt numFmtId="167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5" fontId="0" fillId="0" borderId="0" xfId="0" applyNumberFormat="1"/>
    <xf numFmtId="44" fontId="0" fillId="0" borderId="0" xfId="0" applyNumberFormat="1"/>
    <xf numFmtId="43" fontId="0" fillId="0" borderId="0" xfId="0" applyNumberFormat="1"/>
    <xf numFmtId="167" fontId="0" fillId="0" borderId="0" xfId="0" applyNumberFormat="1"/>
    <xf numFmtId="0" fontId="10" fillId="0" borderId="0" xfId="0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1CD19D-CABB-4C59-8550-14C2937BA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76200</xdr:rowOff>
    </xdr:from>
    <xdr:to>
      <xdr:col>1</xdr:col>
      <xdr:colOff>485775</xdr:colOff>
      <xdr:row>4</xdr:row>
      <xdr:rowOff>106114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A1BE32-AFFD-586A-3798-751E726FB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76200"/>
          <a:ext cx="1123949" cy="8395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38100</xdr:rowOff>
    </xdr:from>
    <xdr:ext cx="1085850" cy="867395"/>
    <xdr:pic>
      <xdr:nvPicPr>
        <xdr:cNvPr id="2" name="Picture 1">
          <a:extLst>
            <a:ext uri="{FF2B5EF4-FFF2-40B4-BE49-F238E27FC236}">
              <a16:creationId xmlns:a16="http://schemas.microsoft.com/office/drawing/2014/main" id="{CC0C43E9-09AE-4D00-AC76-919C2F4A5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1" y="38100"/>
          <a:ext cx="1085850" cy="867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380A40-201C-443C-A869-63BEBE5AC80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65CA8-BFC9-45B1-B500-12845CE24FF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66675</xdr:rowOff>
    </xdr:from>
    <xdr:to>
      <xdr:col>2</xdr:col>
      <xdr:colOff>349885</xdr:colOff>
      <xdr:row>4</xdr:row>
      <xdr:rowOff>92075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A5C52B-CE21-458E-A8BD-F0E03459526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66675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95250</xdr:rowOff>
    </xdr:from>
    <xdr:to>
      <xdr:col>2</xdr:col>
      <xdr:colOff>83185</xdr:colOff>
      <xdr:row>4</xdr:row>
      <xdr:rowOff>120650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1B92878-4A9A-4412-BB32-0678256739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95250"/>
          <a:ext cx="1864360" cy="8350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2D20-1227-4172-9DC8-419514264FF9}">
  <sheetPr>
    <pageSetUpPr fitToPage="1"/>
  </sheetPr>
  <dimension ref="A1:X209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41" sqref="J4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21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10078168.99</v>
      </c>
      <c r="D13" s="37"/>
      <c r="E13" s="37"/>
      <c r="F13" s="34">
        <v>1018495.97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9265290.959999999</v>
      </c>
      <c r="D14" s="37"/>
      <c r="E14" s="37"/>
      <c r="F14" s="34">
        <v>1251338.6300000001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9666488.6000000015</v>
      </c>
      <c r="D15" s="37"/>
      <c r="E15" s="37"/>
      <c r="F15" s="34">
        <v>474037.90000000014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10638893.010000002</v>
      </c>
      <c r="D16" s="37"/>
      <c r="E16" s="37"/>
      <c r="F16" s="34">
        <v>576207.18000000017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11893043.83</v>
      </c>
      <c r="D17" s="37"/>
      <c r="E17" s="37"/>
      <c r="F17" s="34">
        <v>506889.76000000036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10309180.440000001</v>
      </c>
      <c r="D18" s="37"/>
      <c r="E18" s="37"/>
      <c r="F18" s="34">
        <v>726274.44999999984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10437519.5</v>
      </c>
      <c r="D19" s="37"/>
      <c r="E19" s="37"/>
      <c r="F19" s="34">
        <v>1197326.0599999998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8366825.8100000005</v>
      </c>
      <c r="D20" s="37"/>
      <c r="E20" s="37"/>
      <c r="F20" s="34">
        <v>663018.2999999997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10085815.380000001</v>
      </c>
      <c r="D21" s="37"/>
      <c r="E21" s="37"/>
      <c r="F21" s="34">
        <v>854716.84999999916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9464304.3300000001</v>
      </c>
      <c r="D22" s="37"/>
      <c r="E22" s="37"/>
      <c r="F22" s="34">
        <v>484211.81000000006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7904739.6800000006</v>
      </c>
      <c r="D23" s="37"/>
      <c r="E23" s="37"/>
      <c r="F23" s="34">
        <v>844766.24000000022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8798090.7799999993</v>
      </c>
      <c r="D24" s="37"/>
      <c r="E24" s="37"/>
      <c r="F24" s="34">
        <v>-13411.850000000792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8020462.6400000006</v>
      </c>
      <c r="D25" s="37"/>
      <c r="E25" s="37"/>
      <c r="F25" s="34">
        <v>641093.33000000031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8116386.6399999997</v>
      </c>
      <c r="D26" s="37"/>
      <c r="E26" s="37"/>
      <c r="F26" s="34">
        <v>802854.61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8199662.5099999988</v>
      </c>
      <c r="D27" s="37"/>
      <c r="E27" s="37"/>
      <c r="F27" s="34">
        <v>495150.55999999994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6754896.21</v>
      </c>
      <c r="D28" s="37"/>
      <c r="E28" s="37"/>
      <c r="F28" s="34">
        <v>778124.95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6513160.3999999985</v>
      </c>
      <c r="D29" s="37"/>
      <c r="E29" s="37"/>
      <c r="F29" s="34">
        <v>848870.7699999999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7484833.0199999996</v>
      </c>
      <c r="D30" s="37"/>
      <c r="E30" s="37"/>
      <c r="F30" s="34">
        <v>235301.91999999993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5713235.8999999994</v>
      </c>
      <c r="D31" s="37"/>
      <c r="E31" s="37"/>
      <c r="F31" s="34">
        <v>183105.59999999992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5382748.21</v>
      </c>
      <c r="D32" s="37"/>
      <c r="E32" s="37"/>
      <c r="F32" s="34">
        <v>686310.51999999967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5726051.4699999997</v>
      </c>
      <c r="D33" s="37"/>
      <c r="E33" s="37"/>
      <c r="F33" s="34">
        <v>594647.14999999967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5086754.07</v>
      </c>
      <c r="D34" s="37"/>
      <c r="E34" s="37"/>
      <c r="F34" s="34">
        <v>328505.58999999997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5527466.4799999995</v>
      </c>
      <c r="D35" s="37"/>
      <c r="E35" s="37"/>
      <c r="F35" s="34">
        <v>360456.75000000035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8084641.959999999</v>
      </c>
      <c r="D36" s="37"/>
      <c r="E36" s="37"/>
      <c r="F36" s="34">
        <v>724680.99000000034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7510657.4100000011</v>
      </c>
      <c r="D37" s="37"/>
      <c r="E37" s="37"/>
      <c r="F37" s="34">
        <v>420192.07999999984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7913221.2199999997</v>
      </c>
      <c r="D38" s="37"/>
      <c r="E38" s="37"/>
      <c r="F38" s="34">
        <v>728703.55999999971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D39" s="37"/>
      <c r="E39" s="37"/>
      <c r="F39" s="34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D40" s="37"/>
      <c r="E40" s="37"/>
      <c r="F40" s="34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D41" s="37"/>
      <c r="E41" s="37"/>
      <c r="F41" s="34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D42" s="37"/>
      <c r="E42" s="37"/>
      <c r="F42" s="34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D43" s="37"/>
      <c r="E43" s="37"/>
      <c r="F43" s="34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D44" s="37"/>
      <c r="E44" s="37"/>
      <c r="F44" s="3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D45" s="37"/>
      <c r="E45" s="37"/>
      <c r="F45" s="34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D46" s="37"/>
      <c r="E46" s="37"/>
      <c r="F46" s="34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D47" s="37"/>
      <c r="E47" s="37"/>
      <c r="F47" s="34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D48" s="37"/>
      <c r="E48" s="37"/>
      <c r="F48" s="34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D49" s="37"/>
      <c r="E49" s="37"/>
      <c r="F49" s="34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D50" s="37"/>
      <c r="E50" s="37"/>
      <c r="F50" s="34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D51" s="37"/>
      <c r="E51" s="37"/>
      <c r="F51" s="34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D52" s="37"/>
      <c r="E52" s="37"/>
      <c r="F52" s="34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D53" s="37"/>
      <c r="E53" s="37"/>
      <c r="F53" s="34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D54" s="37"/>
      <c r="E54" s="37"/>
      <c r="F54" s="34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D55" s="37"/>
      <c r="E55" s="37"/>
      <c r="F55" s="34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D56" s="37"/>
      <c r="E56" s="37"/>
      <c r="F56" s="34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D57" s="37"/>
      <c r="E57" s="37"/>
      <c r="F57" s="34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D58" s="37"/>
      <c r="E58" s="37"/>
      <c r="F58" s="34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D59" s="37"/>
      <c r="E59" s="37"/>
      <c r="F59" s="34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D60" s="37"/>
      <c r="E60" s="37"/>
      <c r="F60" s="34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D61" s="37"/>
      <c r="E61" s="37"/>
      <c r="F61" s="34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D62" s="37"/>
      <c r="E62" s="37"/>
      <c r="F62" s="34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D63" s="37"/>
      <c r="E63" s="37"/>
      <c r="F63" s="34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D64" s="37"/>
      <c r="E64" s="37"/>
      <c r="F64" s="34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4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212942539.45000002</v>
      </c>
      <c r="F67" s="23">
        <f>SUM(F13:F66)</f>
        <v>16411869.679999998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23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s="33" customFormat="1" ht="15" customHeight="1" x14ac:dyDescent="0.25"/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5">
    <mergeCell ref="A72:J72"/>
    <mergeCell ref="A6:J6"/>
    <mergeCell ref="B8:G8"/>
    <mergeCell ref="A70:J70"/>
    <mergeCell ref="A71:J71"/>
  </mergeCells>
  <conditionalFormatting sqref="C21">
    <cfRule type="cellIs" dxfId="4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8A18-5AD2-41F1-A705-D875018C2968}">
  <sheetPr>
    <pageSetUpPr fitToPage="1"/>
  </sheetPr>
  <dimension ref="A1:X209"/>
  <sheetViews>
    <sheetView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A73" sqref="A73:J73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19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10426962.65</v>
      </c>
      <c r="D13" s="37"/>
      <c r="E13" s="37"/>
      <c r="F13" s="21">
        <v>43278.240000000107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15726877.139999999</v>
      </c>
      <c r="D14" s="37"/>
      <c r="E14" s="37"/>
      <c r="F14" s="21">
        <v>563404.49000000022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11937076.84</v>
      </c>
      <c r="D15" s="37"/>
      <c r="E15" s="37"/>
      <c r="F15" s="21">
        <v>809952.7900000005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9360501.6500000004</v>
      </c>
      <c r="D16" s="37"/>
      <c r="E16" s="37"/>
      <c r="F16" s="21">
        <v>483610.35999999964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13885477.16</v>
      </c>
      <c r="D17" s="37"/>
      <c r="E17" s="37"/>
      <c r="F17" s="21">
        <v>1235701.76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13593608.1</v>
      </c>
      <c r="D18" s="37"/>
      <c r="E18" s="37"/>
      <c r="F18" s="21">
        <v>478761.00000000047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9996404.7599999998</v>
      </c>
      <c r="D19" s="37"/>
      <c r="E19" s="37"/>
      <c r="F19" s="21">
        <v>895145.9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11482744.299999999</v>
      </c>
      <c r="D20" s="37"/>
      <c r="E20" s="37"/>
      <c r="F20" s="21">
        <v>1100702.2399999998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10578627.050000001</v>
      </c>
      <c r="D21" s="37"/>
      <c r="E21" s="37"/>
      <c r="F21" s="21">
        <v>652944.14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10355455.82</v>
      </c>
      <c r="D22" s="37"/>
      <c r="E22" s="37"/>
      <c r="F22" s="21">
        <v>1100989.99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9508671.3800000008</v>
      </c>
      <c r="D23" s="37"/>
      <c r="E23" s="37"/>
      <c r="F23" s="21">
        <v>970333.9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15555102.110000001</v>
      </c>
      <c r="D24" s="37"/>
      <c r="E24" s="37"/>
      <c r="F24" s="21">
        <v>616091.19000000018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9903547.4300000016</v>
      </c>
      <c r="D25" s="37"/>
      <c r="E25" s="37"/>
      <c r="F25" s="21">
        <v>1487793.1100000003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8967189.6600000001</v>
      </c>
      <c r="D26" s="37"/>
      <c r="E26" s="37"/>
      <c r="F26" s="21">
        <v>720636.7999999997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9060176.1799999997</v>
      </c>
      <c r="D27" s="37"/>
      <c r="E27" s="37"/>
      <c r="F27" s="21">
        <v>1440743.0700000003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6837215.7599999998</v>
      </c>
      <c r="D28" s="37"/>
      <c r="E28" s="37"/>
      <c r="F28" s="21">
        <v>506109.32999999984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5606506.3500000006</v>
      </c>
      <c r="D29" s="37"/>
      <c r="E29" s="37"/>
      <c r="F29" s="21">
        <v>423596.96000000031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12840656.85</v>
      </c>
      <c r="D30" s="37"/>
      <c r="E30" s="37"/>
      <c r="F30" s="21">
        <v>1142665.9099999997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10060634.6</v>
      </c>
      <c r="D31" s="37"/>
      <c r="E31" s="37"/>
      <c r="F31" s="21">
        <v>1237317.1799999997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8542928.4000000004</v>
      </c>
      <c r="D32" s="37"/>
      <c r="E32" s="37"/>
      <c r="F32" s="21">
        <v>839198.67999999993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8876553.6500000004</v>
      </c>
      <c r="D33" s="37"/>
      <c r="E33" s="37"/>
      <c r="F33" s="21">
        <v>356810.03000000014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7242770.1099999994</v>
      </c>
      <c r="D34" s="37"/>
      <c r="E34" s="37"/>
      <c r="F34" s="21">
        <v>892349.83000000007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9827254.6699999981</v>
      </c>
      <c r="D35" s="37"/>
      <c r="E35" s="37"/>
      <c r="F35" s="21">
        <v>880055.55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10529178.180000002</v>
      </c>
      <c r="D36" s="37"/>
      <c r="E36" s="37"/>
      <c r="F36" s="21">
        <v>500325.0400000005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11668625.360000001</v>
      </c>
      <c r="D37" s="37"/>
      <c r="E37" s="37"/>
      <c r="F37" s="21">
        <v>706957.5199999999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10726744.090000002</v>
      </c>
      <c r="D38" s="37"/>
      <c r="E38" s="37"/>
      <c r="F38" s="21">
        <v>731518.86000000057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11153923.049999999</v>
      </c>
      <c r="D39" s="37"/>
      <c r="E39" s="37"/>
      <c r="F39" s="21">
        <v>851544.08000000007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12968925.43</v>
      </c>
      <c r="D40" s="37"/>
      <c r="E40" s="37"/>
      <c r="F40" s="21">
        <v>269116.51999999909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12499205.470000001</v>
      </c>
      <c r="D41" s="37"/>
      <c r="E41" s="37"/>
      <c r="F41" s="21">
        <v>1116371.7300000007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13215290.150000002</v>
      </c>
      <c r="D42" s="37"/>
      <c r="E42" s="37"/>
      <c r="F42" s="21">
        <v>280743.69999999972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15701145.790000001</v>
      </c>
      <c r="D43" s="37"/>
      <c r="E43" s="37"/>
      <c r="F43" s="21">
        <v>588072.5400000005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15339755.619999999</v>
      </c>
      <c r="D44" s="37"/>
      <c r="E44" s="37"/>
      <c r="F44" s="21">
        <v>1145044.9799999993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12721354.68</v>
      </c>
      <c r="D45" s="37"/>
      <c r="E45" s="37"/>
      <c r="F45" s="21">
        <v>821315.26000000024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11640086.390000002</v>
      </c>
      <c r="D46" s="37"/>
      <c r="E46" s="37"/>
      <c r="F46" s="21">
        <v>1015090.9600000001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13500261.82</v>
      </c>
      <c r="D47" s="37"/>
      <c r="E47" s="37"/>
      <c r="F47" s="21">
        <v>855235.52000000095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12180558.25</v>
      </c>
      <c r="D48" s="37"/>
      <c r="E48" s="37"/>
      <c r="F48" s="21">
        <v>1235941.4399999995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9845455.3599999994</v>
      </c>
      <c r="D49" s="37"/>
      <c r="E49" s="37"/>
      <c r="F49" s="21">
        <v>992715.41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9216531.3499999996</v>
      </c>
      <c r="D50" s="37"/>
      <c r="E50" s="37"/>
      <c r="F50" s="21">
        <v>804951.46000000008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10299230.279999999</v>
      </c>
      <c r="D51" s="37"/>
      <c r="E51" s="37"/>
      <c r="F51" s="21">
        <v>762882.49000000022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9027348.0500000007</v>
      </c>
      <c r="D52" s="37"/>
      <c r="E52" s="37"/>
      <c r="F52" s="21">
        <v>565762.52000000037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11179234.139999999</v>
      </c>
      <c r="D53" s="37"/>
      <c r="E53" s="37"/>
      <c r="F53" s="21">
        <v>1317524.0300000005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11451013.199999999</v>
      </c>
      <c r="D54" s="37"/>
      <c r="E54" s="37"/>
      <c r="F54" s="21">
        <v>605887.83999999973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11678407.24</v>
      </c>
      <c r="D55" s="37"/>
      <c r="E55" s="37"/>
      <c r="F55" s="21">
        <v>1524751.9700000004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13611946.630000001</v>
      </c>
      <c r="D56" s="37"/>
      <c r="E56" s="37"/>
      <c r="F56" s="21">
        <v>662593.79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12599447.699999999</v>
      </c>
      <c r="D57" s="37"/>
      <c r="E57" s="37"/>
      <c r="F57" s="21">
        <v>817552.21999999951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16612386.709999997</v>
      </c>
      <c r="D58" s="37"/>
      <c r="E58" s="37"/>
      <c r="F58" s="21">
        <v>719123.39000000013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9560355.9499999993</v>
      </c>
      <c r="D59" s="37"/>
      <c r="E59" s="37"/>
      <c r="F59" s="21">
        <v>733978.70000000007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9230110.2999999989</v>
      </c>
      <c r="D60" s="37"/>
      <c r="E60" s="37"/>
      <c r="F60" s="21">
        <v>582709.42000000016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10063893.050000001</v>
      </c>
      <c r="D61" s="37"/>
      <c r="E61" s="37"/>
      <c r="F61" s="21">
        <v>1023571.3999999997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10012110.42</v>
      </c>
      <c r="D62" s="37"/>
      <c r="E62" s="37"/>
      <c r="F62" s="21">
        <v>893437.24999999953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11290857.800000001</v>
      </c>
      <c r="D63" s="37"/>
      <c r="E63" s="37"/>
      <c r="F63" s="21">
        <v>836244.04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9343715.4499999993</v>
      </c>
      <c r="D64" s="37"/>
      <c r="E64" s="37"/>
      <c r="F64" s="21">
        <v>862821.5499999997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579040040.52999985</v>
      </c>
      <c r="F67" s="23">
        <f>SUM(F13:F66)</f>
        <v>42701978.079999998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41" t="s">
        <v>22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20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73:J73"/>
    <mergeCell ref="A6:J6"/>
    <mergeCell ref="B8:G8"/>
    <mergeCell ref="A70:J70"/>
    <mergeCell ref="A71:J71"/>
    <mergeCell ref="A72:J72"/>
  </mergeCells>
  <conditionalFormatting sqref="C21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7C1-1D53-4CAD-9FB6-8744C76928CB}">
  <sheetPr>
    <pageSetUpPr fitToPage="1"/>
  </sheetPr>
  <dimension ref="A1:X209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36">
        <v>0</v>
      </c>
      <c r="F13" s="36">
        <v>0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45" si="0">A13+7</f>
        <v>45389</v>
      </c>
      <c r="B14" s="20"/>
      <c r="C14" s="36">
        <v>0</v>
      </c>
      <c r="F14" s="36">
        <v>0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36">
        <v>0</v>
      </c>
      <c r="F15" s="36">
        <v>0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36">
        <v>0</v>
      </c>
      <c r="F16" s="36">
        <v>0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36">
        <v>0</v>
      </c>
      <c r="F17" s="36">
        <v>0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36">
        <v>0</v>
      </c>
      <c r="F18" s="36">
        <v>0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36">
        <v>0</v>
      </c>
      <c r="F19" s="36">
        <v>0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36">
        <v>0</v>
      </c>
      <c r="F20" s="36">
        <v>0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36">
        <v>0</v>
      </c>
      <c r="F21" s="36">
        <v>0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36">
        <v>0</v>
      </c>
      <c r="F22" s="36">
        <v>0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36">
        <v>0</v>
      </c>
      <c r="F23" s="36">
        <v>0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36">
        <v>0</v>
      </c>
      <c r="F24" s="36">
        <v>0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36">
        <v>0</v>
      </c>
      <c r="F25" s="36">
        <v>0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36">
        <v>0</v>
      </c>
      <c r="F26" s="36">
        <v>0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36">
        <v>0</v>
      </c>
      <c r="F27" s="36"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36">
        <v>0</v>
      </c>
      <c r="F28" s="36"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36">
        <v>0</v>
      </c>
      <c r="F29" s="36"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36">
        <v>0</v>
      </c>
      <c r="F30" s="36"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3044164.19</v>
      </c>
      <c r="F39" s="21">
        <v>165672.84999999998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9092643.959999999</v>
      </c>
      <c r="F40" s="21">
        <v>1149939.73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8670442.8800000008</v>
      </c>
      <c r="F41" s="21">
        <v>189740.78000000038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8149077.5899999999</v>
      </c>
      <c r="F42" s="21">
        <v>537911.09000000008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11442338.680000002</v>
      </c>
      <c r="F43" s="21">
        <v>727703.07000000053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9121403.4900000002</v>
      </c>
      <c r="F44" s="21">
        <v>412543.0299999998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9616542.1300000008</v>
      </c>
      <c r="F45" s="21">
        <v>1447376.18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ref="A46:A64" si="1">A45+7</f>
        <v>45613</v>
      </c>
      <c r="B46" s="20"/>
      <c r="C46" s="21">
        <v>8432257.8300000001</v>
      </c>
      <c r="F46" s="21">
        <v>776499.46999999986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1"/>
        <v>45620</v>
      </c>
      <c r="B47" s="20"/>
      <c r="C47" s="21">
        <v>8268344.1699999999</v>
      </c>
      <c r="F47" s="21">
        <v>532583.21000000043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1"/>
        <v>45627</v>
      </c>
      <c r="B48" s="20"/>
      <c r="C48" s="21">
        <v>9705170.9499999993</v>
      </c>
      <c r="F48" s="21">
        <v>394851.61999999988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1"/>
        <v>45634</v>
      </c>
      <c r="B49" s="20"/>
      <c r="C49" s="21">
        <v>7555173.4099999992</v>
      </c>
      <c r="F49" s="21">
        <v>315513.53000000003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1"/>
        <v>45641</v>
      </c>
      <c r="B50" s="20"/>
      <c r="C50" s="21">
        <v>6872187.8099999996</v>
      </c>
      <c r="F50" s="21">
        <v>461440.80999999982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1"/>
        <v>45648</v>
      </c>
      <c r="B51" s="20"/>
      <c r="C51" s="21">
        <v>20886200</v>
      </c>
      <c r="F51" s="21">
        <v>146756.21999999927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1"/>
        <v>45655</v>
      </c>
      <c r="B52" s="20"/>
      <c r="C52" s="21">
        <v>8858015.8000000007</v>
      </c>
      <c r="F52" s="21">
        <v>746232.55999999982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1"/>
        <v>45662</v>
      </c>
      <c r="B53" s="20"/>
      <c r="C53" s="21">
        <v>11078336.870000001</v>
      </c>
      <c r="F53" s="21">
        <v>8673.6000000000931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1"/>
        <v>45669</v>
      </c>
      <c r="B54" s="20"/>
      <c r="C54" s="21">
        <v>10643279.570000002</v>
      </c>
      <c r="F54" s="21">
        <v>1126953.1500000006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1"/>
        <v>45676</v>
      </c>
      <c r="B55" s="20"/>
      <c r="C55" s="21">
        <v>15916768.9</v>
      </c>
      <c r="F55" s="21">
        <v>686675.86999999953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1"/>
        <v>45683</v>
      </c>
      <c r="B56" s="20"/>
      <c r="C56" s="21">
        <v>13044958.68</v>
      </c>
      <c r="F56" s="21">
        <v>654031.82000000018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1"/>
        <v>45690</v>
      </c>
      <c r="B57" s="20"/>
      <c r="C57" s="21">
        <v>18107388.5</v>
      </c>
      <c r="F57" s="21">
        <v>768485.13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1"/>
        <v>45697</v>
      </c>
      <c r="B58" s="20"/>
      <c r="C58" s="21">
        <v>11838487.649999999</v>
      </c>
      <c r="F58" s="21">
        <v>1226431.2400000005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1"/>
        <v>45704</v>
      </c>
      <c r="B59" s="20"/>
      <c r="C59" s="21">
        <v>8925963.5</v>
      </c>
      <c r="F59" s="21">
        <v>658442.84000000043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1"/>
        <v>45711</v>
      </c>
      <c r="B60" s="20"/>
      <c r="C60" s="21">
        <v>8613897.8499999996</v>
      </c>
      <c r="F60" s="21">
        <v>840755.96999999962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1"/>
        <v>45718</v>
      </c>
      <c r="B61" s="20"/>
      <c r="C61" s="21">
        <v>10601380.950000001</v>
      </c>
      <c r="F61" s="21">
        <v>487091.4499999996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1"/>
        <v>45725</v>
      </c>
      <c r="B62" s="20"/>
      <c r="C62" s="21">
        <v>11510901.949999999</v>
      </c>
      <c r="F62" s="21">
        <v>1060690.7700000003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1"/>
        <v>45732</v>
      </c>
      <c r="B63" s="20"/>
      <c r="C63" s="21">
        <v>12755696.98</v>
      </c>
      <c r="F63" s="21">
        <v>780303.33999999939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1"/>
        <v>45739</v>
      </c>
      <c r="B64" s="20"/>
      <c r="C64" s="21">
        <v>14144549.970000001</v>
      </c>
      <c r="F64" s="21">
        <v>1748914.48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276895574.25999999</v>
      </c>
      <c r="F67" s="23">
        <f>SUM(F13:F66)</f>
        <v>18052213.809999999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18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16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6">
    <mergeCell ref="A6:J6"/>
    <mergeCell ref="B8:G8"/>
    <mergeCell ref="A70:J70"/>
    <mergeCell ref="A71:J71"/>
    <mergeCell ref="A73:J73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2EA1A-C91C-483A-A4B6-7F79566BC823}">
  <sheetPr>
    <pageSetUpPr fitToPage="1"/>
  </sheetPr>
  <dimension ref="A1:X208"/>
  <sheetViews>
    <sheetView zoomScaleNormal="100" workbookViewId="0">
      <pane xSplit="2" ySplit="12" topLeftCell="C58" activePane="bottomRight" state="frozen"/>
      <selection activeCell="B33" sqref="B33"/>
      <selection pane="topRight" activeCell="B33" sqref="B33"/>
      <selection pane="bottomLeft" activeCell="B33" sqref="B33"/>
      <selection pane="bottomRight" activeCell="C39" sqref="C39:F39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15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426190.49</v>
      </c>
      <c r="F13" s="21">
        <v>4617.6799999999348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385194.72000000003</v>
      </c>
      <c r="F14" s="21">
        <v>14813.37000000001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449464.06</v>
      </c>
      <c r="F15" s="21">
        <v>14917.060000000231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431539.10999999993</v>
      </c>
      <c r="F16" s="21">
        <v>19129.340000000073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503735.56000000006</v>
      </c>
      <c r="F17" s="21">
        <v>29164.990000000005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432654.7</v>
      </c>
      <c r="F18" s="21">
        <v>12967.070000000036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470366.88999999996</v>
      </c>
      <c r="F19" s="21">
        <v>28326.629999999997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415523.4</v>
      </c>
      <c r="F20" s="21">
        <v>12248.970000000125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436262.63000000006</v>
      </c>
      <c r="F21" s="21">
        <v>12233.200000000084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410220.68000000005</v>
      </c>
      <c r="F22" s="21">
        <v>1714.9500000000771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324951.37</v>
      </c>
      <c r="F23" s="21">
        <v>11709.400000000038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340621.79000000004</v>
      </c>
      <c r="F24" s="21">
        <v>17987.510000000115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357857.01</v>
      </c>
      <c r="F25" s="21">
        <v>30148.200000000004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371079.19</v>
      </c>
      <c r="F26" s="21">
        <v>20302.270000000055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368739.14</v>
      </c>
      <c r="F27" s="21">
        <v>21361.54000000003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284062.45999999996</v>
      </c>
      <c r="F28" s="21">
        <v>11551.200000000114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112792.04999999999</v>
      </c>
      <c r="F29" s="21">
        <v>14974.669999999986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171331.85</v>
      </c>
      <c r="F30" s="21">
        <v>3334.1799999999985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36">
        <v>0</v>
      </c>
      <c r="D31" s="35"/>
      <c r="E31" s="35"/>
      <c r="F31" s="36">
        <v>0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36">
        <v>0</v>
      </c>
      <c r="D32" s="35"/>
      <c r="E32" s="35"/>
      <c r="F32" s="36">
        <v>0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36">
        <v>0</v>
      </c>
      <c r="D33" s="35"/>
      <c r="E33" s="35"/>
      <c r="F33" s="36">
        <v>0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36">
        <v>0</v>
      </c>
      <c r="D34" s="35"/>
      <c r="E34" s="35"/>
      <c r="F34" s="36">
        <v>0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36">
        <v>0</v>
      </c>
      <c r="D35" s="35"/>
      <c r="E35" s="35"/>
      <c r="F35" s="36">
        <v>0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36">
        <v>0</v>
      </c>
      <c r="D36" s="35"/>
      <c r="E36" s="35"/>
      <c r="F36" s="36">
        <v>0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36">
        <v>0</v>
      </c>
      <c r="D37" s="35"/>
      <c r="E37" s="35"/>
      <c r="F37" s="36">
        <v>0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36">
        <v>0</v>
      </c>
      <c r="F38" s="36">
        <v>0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36">
        <v>0</v>
      </c>
      <c r="F39" s="36">
        <v>0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36">
        <v>0</v>
      </c>
      <c r="F40" s="36">
        <v>0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36">
        <v>0</v>
      </c>
      <c r="F41" s="36">
        <v>0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36">
        <v>0</v>
      </c>
      <c r="F42" s="36">
        <v>0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36">
        <v>0</v>
      </c>
      <c r="F43" s="36">
        <v>0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36">
        <v>0</v>
      </c>
      <c r="F44" s="36">
        <v>0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36">
        <v>0</v>
      </c>
      <c r="F45" s="36">
        <v>0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36">
        <v>0</v>
      </c>
      <c r="F46" s="36">
        <v>0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36">
        <v>0</v>
      </c>
      <c r="F47" s="36">
        <v>0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36">
        <v>0</v>
      </c>
      <c r="F48" s="36">
        <v>0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36">
        <v>0</v>
      </c>
      <c r="F49" s="36">
        <v>0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36">
        <v>0</v>
      </c>
      <c r="F50" s="36">
        <v>0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36">
        <v>0</v>
      </c>
      <c r="F51" s="36">
        <v>0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36">
        <v>0</v>
      </c>
      <c r="F52" s="36">
        <v>0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36">
        <v>0</v>
      </c>
      <c r="F53" s="36">
        <v>0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36">
        <v>0</v>
      </c>
      <c r="F54" s="36">
        <v>0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36">
        <v>0</v>
      </c>
      <c r="F55" s="36">
        <v>0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36">
        <v>0</v>
      </c>
      <c r="F56" s="36">
        <v>0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36">
        <v>0</v>
      </c>
      <c r="F57" s="36">
        <v>0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36">
        <v>0</v>
      </c>
      <c r="F58" s="36">
        <v>0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36">
        <v>0</v>
      </c>
      <c r="F59" s="36">
        <v>0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36">
        <v>0</v>
      </c>
      <c r="F60" s="36">
        <v>0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36">
        <v>0</v>
      </c>
      <c r="F61" s="36">
        <v>0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36">
        <v>0</v>
      </c>
      <c r="F62" s="36">
        <v>0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36">
        <v>0</v>
      </c>
      <c r="F63" s="36">
        <v>0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36">
        <v>0</v>
      </c>
      <c r="F64" s="36">
        <v>0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6692587.0999999996</v>
      </c>
      <c r="F67" s="23">
        <f>SUM(F13:F66)</f>
        <v>281502.23000000085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x14ac:dyDescent="0.25">
      <c r="A72" s="41" t="s">
        <v>17</v>
      </c>
      <c r="B72" s="41"/>
      <c r="C72" s="41"/>
      <c r="D72" s="41"/>
      <c r="E72" s="41"/>
      <c r="F72" s="41"/>
      <c r="G72" s="41"/>
      <c r="H72" s="41"/>
      <c r="I72" s="41"/>
      <c r="J72" s="41"/>
    </row>
    <row r="73" spans="1:19" s="33" customFormat="1" ht="15" customHeight="1" x14ac:dyDescent="0.25">
      <c r="A73" s="38" t="s">
        <v>10</v>
      </c>
      <c r="B73" s="38"/>
      <c r="C73" s="38"/>
      <c r="D73" s="38"/>
      <c r="E73" s="38"/>
      <c r="F73" s="38"/>
      <c r="G73" s="38"/>
      <c r="H73" s="38"/>
      <c r="I73" s="38"/>
      <c r="J73" s="38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72:J72"/>
    <mergeCell ref="A6:J6"/>
    <mergeCell ref="B8:G8"/>
    <mergeCell ref="A70:J70"/>
    <mergeCell ref="A71:J71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6679-173A-4B9E-981F-196C017056C7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A72" sqref="A72:J7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14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1587357.97</v>
      </c>
      <c r="F13" s="21">
        <v>143183.99999999994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1920223.3799999994</v>
      </c>
      <c r="F14" s="34">
        <v>-26861.710000000399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2111624.1100000003</v>
      </c>
      <c r="F15" s="34">
        <v>60753.38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2540496.77</v>
      </c>
      <c r="F16" s="34">
        <v>283952.96999999997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2606843.9199999995</v>
      </c>
      <c r="E17" s="34"/>
      <c r="F17" s="34">
        <v>172082.69999999925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2150371.31</v>
      </c>
      <c r="E18" s="34"/>
      <c r="F18" s="34">
        <v>197131.67000000013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1819981.5499999998</v>
      </c>
      <c r="E19" s="34"/>
      <c r="F19" s="34">
        <v>144324.23000000013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1675038.59</v>
      </c>
      <c r="E20" s="34"/>
      <c r="F20" s="34">
        <v>85225.289999999964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1500815.5699999998</v>
      </c>
      <c r="E21" s="34"/>
      <c r="F21" s="34">
        <v>65296.22999999985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1569289.2999999998</v>
      </c>
      <c r="E22" s="34"/>
      <c r="F22" s="34">
        <v>-64794.410000000498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1471038.9799999997</v>
      </c>
      <c r="E23" s="34"/>
      <c r="F23" s="34">
        <v>105888.60999999977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1686526.8599999999</v>
      </c>
      <c r="E24" s="34"/>
      <c r="F24" s="34">
        <v>68011.379999999859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1803033.7499999995</v>
      </c>
      <c r="E25" s="34"/>
      <c r="F25" s="34">
        <v>119275.31000000017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1605288.71</v>
      </c>
      <c r="E26" s="34"/>
      <c r="F26" s="34">
        <v>229726.18999999997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1789438.8399999999</v>
      </c>
      <c r="E27" s="34"/>
      <c r="F27" s="34">
        <v>112368.97000000003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1145108.4099999999</v>
      </c>
      <c r="E28" s="34"/>
      <c r="F28" s="34">
        <v>73161.039999999673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1429419.8699999999</v>
      </c>
      <c r="E29" s="34"/>
      <c r="F29" s="34">
        <v>126657.22999999989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1663139.1900000002</v>
      </c>
      <c r="E30" s="34"/>
      <c r="F30" s="34">
        <v>137295.97999999975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1903462.98</v>
      </c>
      <c r="E31" s="34"/>
      <c r="F31" s="34">
        <v>169406.87999999992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1967540.5099999998</v>
      </c>
      <c r="E32" s="34"/>
      <c r="F32" s="34">
        <v>59377.459999999963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1943771.0699999998</v>
      </c>
      <c r="E33" s="34"/>
      <c r="F33" s="34">
        <v>237607.74999999959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1867684.95</v>
      </c>
      <c r="E34" s="34"/>
      <c r="F34" s="34">
        <v>266415.56999999983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2123676.9</v>
      </c>
      <c r="E35" s="34"/>
      <c r="F35" s="34">
        <v>-36727.290000000328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2510881.3499999996</v>
      </c>
      <c r="E36" s="34"/>
      <c r="F36" s="34">
        <v>-221081.20000000056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2511241.4000000004</v>
      </c>
      <c r="E37" s="34"/>
      <c r="F37" s="34">
        <v>203651.67000000019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2515016.9299999997</v>
      </c>
      <c r="E38" s="34"/>
      <c r="F38" s="34">
        <v>171646.82999999996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2862482.4499999993</v>
      </c>
      <c r="F39" s="21">
        <v>6423.2199999992445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2733986.8299999996</v>
      </c>
      <c r="F40" s="21">
        <v>176552.09999999762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2409323.09</v>
      </c>
      <c r="F41" s="21">
        <v>142428.25000000073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3042626.3599999989</v>
      </c>
      <c r="F42" s="34">
        <v>-115097.17000000057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2848459.8800000004</v>
      </c>
      <c r="F43" s="21">
        <v>123270.00000000052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2599110.69</v>
      </c>
      <c r="F44" s="21">
        <v>90082.919999999402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2231619.2599999998</v>
      </c>
      <c r="F45" s="34">
        <v>-88396.979999999603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2859921.4099999997</v>
      </c>
      <c r="F46" s="34">
        <v>-166030.95999999958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3105133.9299999997</v>
      </c>
      <c r="F47" s="34">
        <v>-74931.580000002199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2303410.11</v>
      </c>
      <c r="F48" s="21">
        <v>106709.81999999992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1880022.7700000003</v>
      </c>
      <c r="F49" s="21">
        <v>118107.76000000065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2048047.8699999999</v>
      </c>
      <c r="F50" s="34">
        <v>-204995.66999999978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1889153.4799999995</v>
      </c>
      <c r="F51" s="34">
        <v>-40308.210000000428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2274751.2200000002</v>
      </c>
      <c r="F52" s="34">
        <v>-71176.87999999951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2208949.0200000005</v>
      </c>
      <c r="F53" s="21">
        <v>82551.779999999824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2100328.61</v>
      </c>
      <c r="F54" s="21">
        <v>51098.550000001211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1938616.9099999997</v>
      </c>
      <c r="F55" s="21">
        <v>49178.939999999886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1784324.7599999998</v>
      </c>
      <c r="F56" s="21">
        <v>61375.459999999817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1943712.9900000002</v>
      </c>
      <c r="F57" s="21">
        <v>103748.3500000005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1900782.4600000002</v>
      </c>
      <c r="F58" s="34">
        <v>-34203.139999999461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1805865.33</v>
      </c>
      <c r="F59" s="21">
        <v>67484.39999999979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1488554.28</v>
      </c>
      <c r="F60" s="21">
        <v>103241.41999999995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1526088.24</v>
      </c>
      <c r="F61" s="21">
        <v>60076.830000000045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1317273.5400000003</v>
      </c>
      <c r="F62" s="21">
        <v>18697.940000000293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596577.21000000008</v>
      </c>
      <c r="F63" s="21">
        <v>38337.180000000073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567522.29999999993</v>
      </c>
      <c r="F64" s="21">
        <v>37601.420000000056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103684958.16999997</v>
      </c>
      <c r="F67" s="23">
        <f>SUM(F13:F66)</f>
        <v>3524802.4799999949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3" customFormat="1" ht="25.5" customHeight="1" x14ac:dyDescent="0.25">
      <c r="A70" s="41" t="s">
        <v>9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41" t="s">
        <v>11</v>
      </c>
      <c r="B71" s="41"/>
      <c r="C71" s="41"/>
      <c r="D71" s="41"/>
      <c r="E71" s="41"/>
      <c r="F71" s="41"/>
      <c r="G71" s="41"/>
      <c r="H71" s="41"/>
      <c r="I71" s="41"/>
      <c r="J71" s="41"/>
    </row>
    <row r="72" spans="1:19" s="33" customFormat="1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E78F-031C-4435-BDC3-7067FF729A08}">
  <sheetPr>
    <pageSetUpPr fitToPage="1"/>
  </sheetPr>
  <dimension ref="A1:X207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A71" sqref="A71:J7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1"/>
      <c r="C4" s="31"/>
      <c r="D4" s="31"/>
      <c r="E4" s="31"/>
      <c r="F4" s="31"/>
      <c r="G4" s="3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13</v>
      </c>
      <c r="B6" s="39"/>
      <c r="C6" s="39"/>
      <c r="D6" s="39"/>
      <c r="E6" s="39"/>
      <c r="F6" s="39"/>
      <c r="G6" s="39"/>
      <c r="H6" s="39"/>
      <c r="I6" s="39"/>
      <c r="J6" s="39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40" t="s">
        <v>7</v>
      </c>
      <c r="C8" s="40"/>
      <c r="D8" s="40"/>
      <c r="E8" s="40"/>
      <c r="F8" s="40"/>
      <c r="G8" s="40"/>
    </row>
    <row r="9" spans="1:24" s="13" customFormat="1" ht="12.75" x14ac:dyDescent="0.2">
      <c r="B9" s="32"/>
      <c r="C9" s="32"/>
      <c r="D9" s="32"/>
      <c r="E9" s="32"/>
      <c r="F9" s="32"/>
      <c r="G9" s="32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2213954.9099999997</v>
      </c>
      <c r="F13" s="21">
        <v>217035.49999999898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1889788.04</v>
      </c>
      <c r="F14" s="21">
        <v>180857.04999999973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2023913.9500000004</v>
      </c>
      <c r="F15" s="21">
        <v>92771.949999999633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2307442.4999999995</v>
      </c>
      <c r="F16" s="34">
        <v>127273.36999999973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2361701.8599999994</v>
      </c>
      <c r="E17" s="34"/>
      <c r="F17" s="34">
        <v>61319.309999999154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2386678.0499999989</v>
      </c>
      <c r="E18" s="34"/>
      <c r="F18" s="34">
        <v>341315.81999999896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2140266.6999999997</v>
      </c>
      <c r="E19" s="34"/>
      <c r="F19" s="34">
        <v>151599.80999999965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2128405.7800000003</v>
      </c>
      <c r="E20" s="34"/>
      <c r="F20" s="34">
        <v>97587.040000000532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2288059.11</v>
      </c>
      <c r="E21" s="34"/>
      <c r="F21" s="34">
        <v>117965.14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1641456.6500000004</v>
      </c>
      <c r="E22" s="34"/>
      <c r="F22" s="34">
        <v>59750.490000000194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1582546.91</v>
      </c>
      <c r="E23" s="34"/>
      <c r="F23" s="34">
        <v>177909.83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1571145.05</v>
      </c>
      <c r="E24" s="34"/>
      <c r="F24" s="34">
        <v>-21806.799999999501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1589466.62</v>
      </c>
      <c r="E25" s="34"/>
      <c r="F25" s="34">
        <v>44548.049999999639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1600410.9100000001</v>
      </c>
      <c r="E26" s="34"/>
      <c r="F26" s="34">
        <v>179348.3699999995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1274514.22</v>
      </c>
      <c r="E27" s="34"/>
      <c r="F27" s="34">
        <v>144683.7500000002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1480488.9699999997</v>
      </c>
      <c r="E28" s="34"/>
      <c r="F28" s="34">
        <v>22899.039999999801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1131806.5500000003</v>
      </c>
      <c r="E29" s="34"/>
      <c r="F29" s="34">
        <v>61310.719999999994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1508157.5699999998</v>
      </c>
      <c r="E30" s="34"/>
      <c r="F30" s="34">
        <v>122182.69999999995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1475361.5700000003</v>
      </c>
      <c r="E31" s="34"/>
      <c r="F31" s="34">
        <v>134628.96000000037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1496821.7000000004</v>
      </c>
      <c r="E32" s="34"/>
      <c r="F32" s="34">
        <v>59340.310000000361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1618152.5799999996</v>
      </c>
      <c r="E33" s="34"/>
      <c r="F33" s="34">
        <v>22602.740000000311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1501889.8699999996</v>
      </c>
      <c r="E34" s="34"/>
      <c r="F34" s="34">
        <v>113337.20999999999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2016651.8199999998</v>
      </c>
      <c r="E35" s="34"/>
      <c r="F35" s="34">
        <v>143687.56999999995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2254457.3299999991</v>
      </c>
      <c r="E36" s="34"/>
      <c r="F36" s="34">
        <v>198975.72999999981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2146545.29</v>
      </c>
      <c r="E37" s="34"/>
      <c r="F37" s="34">
        <v>116492.08999999994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2311111.21</v>
      </c>
      <c r="E38" s="34"/>
      <c r="F38" s="34">
        <v>-35583.619999999995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2127661.46</v>
      </c>
      <c r="F39" s="21">
        <v>129233.99999999977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1847684.99</v>
      </c>
      <c r="F40" s="21">
        <v>141148.19999999978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1919436.2199999997</v>
      </c>
      <c r="F41" s="21">
        <v>71787.930000000066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2092544.3500000006</v>
      </c>
      <c r="F42" s="21">
        <v>156845.65000000066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2015384.8499999994</v>
      </c>
      <c r="F43" s="21">
        <v>389437.25999999966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2031406.97</v>
      </c>
      <c r="F44" s="21">
        <v>142271.88999999984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2058045.4699999997</v>
      </c>
      <c r="F45" s="21">
        <v>434.83999999961816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3343645.73</v>
      </c>
      <c r="F46" s="34">
        <v>-65021.050000000803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3422825.1099999994</v>
      </c>
      <c r="F47" s="34">
        <v>-28374.749999999593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2289796.65</v>
      </c>
      <c r="F48" s="21">
        <v>122494.03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2241134.96</v>
      </c>
      <c r="F49" s="21">
        <v>49172.06000000058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2278495.81</v>
      </c>
      <c r="F50" s="21">
        <v>99433.719999999274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1749118.79</v>
      </c>
      <c r="F51" s="21">
        <v>90868.550000000309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2187065.3199999994</v>
      </c>
      <c r="F52" s="34">
        <v>-72623.340000001364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2341147.5599999996</v>
      </c>
      <c r="F53" s="21">
        <v>128186.27999999933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2055369.4499999997</v>
      </c>
      <c r="F54" s="21">
        <v>115473.77999999936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2906151.44</v>
      </c>
      <c r="F55" s="21">
        <v>107704.92000000004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2249093.4799999995</v>
      </c>
      <c r="F56" s="21">
        <v>2957.409999999305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2353207.1</v>
      </c>
      <c r="F57" s="21">
        <v>168128.84999999954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2689831.97</v>
      </c>
      <c r="F58" s="21">
        <v>140027.57000000073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2785154.9900000007</v>
      </c>
      <c r="F59" s="21">
        <v>127830.28000000049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2397833.75</v>
      </c>
      <c r="F60" s="21">
        <v>145383.2699999997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2392716.46</v>
      </c>
      <c r="F61" s="21">
        <v>88286.779999999679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2694672</v>
      </c>
      <c r="F62" s="21">
        <v>274765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3058486</v>
      </c>
      <c r="F63" s="21">
        <v>54867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1923099.4000000001</v>
      </c>
      <c r="F64" s="21">
        <v>49619.899999999616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109392206</v>
      </c>
      <c r="F66" s="23">
        <f>SUM(F13:F65)</f>
        <v>5562372.1599999899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3" customFormat="1" ht="25.5" customHeight="1" x14ac:dyDescent="0.25">
      <c r="A69" s="41" t="s">
        <v>9</v>
      </c>
      <c r="B69" s="41"/>
      <c r="C69" s="41"/>
      <c r="D69" s="41"/>
      <c r="E69" s="41"/>
      <c r="F69" s="41"/>
      <c r="G69" s="41"/>
      <c r="H69" s="41"/>
      <c r="I69" s="41"/>
      <c r="J69" s="41"/>
    </row>
    <row r="70" spans="1:19" s="33" customFormat="1" ht="15" customHeight="1" x14ac:dyDescent="0.25">
      <c r="A70" s="41" t="s">
        <v>11</v>
      </c>
      <c r="B70" s="41"/>
      <c r="C70" s="41"/>
      <c r="D70" s="41"/>
      <c r="E70" s="41"/>
      <c r="F70" s="41"/>
      <c r="G70" s="41"/>
      <c r="H70" s="41"/>
      <c r="I70" s="41"/>
      <c r="J70" s="41"/>
    </row>
    <row r="71" spans="1:19" s="33" customFormat="1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26 E14:E16 C14:D35 E17:F38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28" activePane="bottomRight" state="frozen"/>
      <selection activeCell="B33" sqref="B33"/>
      <selection pane="topRight" activeCell="B33" sqref="B33"/>
      <selection pane="bottomLeft" activeCell="B33" sqref="B33"/>
      <selection pane="bottomRight" activeCell="C13" sqref="C13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1"/>
      <c r="B4" s="31"/>
      <c r="C4" s="31"/>
      <c r="D4" s="31"/>
      <c r="E4" s="31"/>
      <c r="F4" s="3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2" t="s">
        <v>8</v>
      </c>
      <c r="B6" s="43"/>
      <c r="C6" s="43"/>
      <c r="D6" s="43"/>
      <c r="E6" s="44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40" t="s">
        <v>7</v>
      </c>
      <c r="B8" s="40"/>
      <c r="C8" s="40"/>
      <c r="D8" s="40"/>
      <c r="E8" s="40"/>
      <c r="F8" s="40"/>
    </row>
    <row r="9" spans="1:24" s="13" customFormat="1" ht="12.75" customHeight="1" x14ac:dyDescent="0.2">
      <c r="A9" s="32"/>
      <c r="B9" s="32"/>
      <c r="C9" s="32"/>
      <c r="D9" s="32"/>
      <c r="E9" s="32"/>
      <c r="F9" s="32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251355.86000000002</v>
      </c>
      <c r="D17" s="21">
        <v>33656.790000000103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1101825.1499999997</v>
      </c>
      <c r="D18" s="21">
        <v>174061.55000000063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1508284.9299999997</v>
      </c>
      <c r="D19" s="21">
        <v>212059.08999999953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2000044.4399999995</v>
      </c>
      <c r="D20" s="21">
        <v>311265.46999999887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2346212.9800000004</v>
      </c>
      <c r="D21" s="21">
        <v>304816.03999999817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2357778.61</v>
      </c>
      <c r="D22" s="21">
        <v>391224.44999999821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2249686.0700000003</v>
      </c>
      <c r="D23" s="21">
        <v>223775.19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1973836.8399999999</v>
      </c>
      <c r="D24" s="21">
        <v>193592.14999999997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13789024.879999999</v>
      </c>
      <c r="D25" s="23">
        <f>SUM(D13:D24)</f>
        <v>1844450.7299999953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5" t="s">
        <v>9</v>
      </c>
      <c r="B28" s="45"/>
      <c r="C28" s="45"/>
      <c r="D28" s="45"/>
      <c r="E28" s="45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5" t="s">
        <v>11</v>
      </c>
      <c r="B29" s="45"/>
      <c r="C29" s="45"/>
      <c r="D29" s="45"/>
      <c r="E29" s="45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34.5" customHeight="1" x14ac:dyDescent="0.25">
      <c r="A30" s="46" t="s">
        <v>12</v>
      </c>
      <c r="B30" s="46"/>
      <c r="C30" s="46"/>
      <c r="D30" s="46"/>
      <c r="E30" s="46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38" t="s">
        <v>10</v>
      </c>
      <c r="B31" s="38"/>
      <c r="C31" s="38"/>
      <c r="D31" s="38"/>
      <c r="E31" s="38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6"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FY 26-27</vt:lpstr>
      <vt:lpstr>FY 25-26</vt:lpstr>
      <vt:lpstr>FY 24-25 ESPN</vt:lpstr>
      <vt:lpstr>FY 24-25</vt:lpstr>
      <vt:lpstr>FY 23-24</vt:lpstr>
      <vt:lpstr>FY22-23</vt:lpstr>
      <vt:lpstr>FY21-22</vt:lpstr>
      <vt:lpstr>'FY 23-24'!Print_Area</vt:lpstr>
      <vt:lpstr>'FY 24-25'!Print_Area</vt:lpstr>
      <vt:lpstr>'FY 24-25 ESPN'!Print_Area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2025-12-31T15:41:58Z</cp:lastPrinted>
  <dcterms:created xsi:type="dcterms:W3CDTF">2022-01-10T16:49:23Z</dcterms:created>
  <dcterms:modified xsi:type="dcterms:W3CDTF">2026-09-23T19:06:04Z</dcterms:modified>
</cp:coreProperties>
</file>