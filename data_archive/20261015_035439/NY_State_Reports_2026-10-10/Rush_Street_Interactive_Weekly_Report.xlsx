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70002235-50D0-453F-83C9-DFD795EF63B2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 22-23" sheetId="3" r:id="rId5"/>
    <sheet name="FY 21-22" sheetId="1" r:id="rId6"/>
  </sheets>
  <definedNames>
    <definedName name="_xlnm.Print_Area" localSheetId="4">'FY 22-23'!$A$1:$J$71</definedName>
    <definedName name="_xlnm.Print_Area" localSheetId="3">'FY 23-24'!$A$1:$J$72</definedName>
    <definedName name="_xlnm.Print_Area" localSheetId="2">'FY 24-25'!$A$1:$J$72</definedName>
    <definedName name="_xlnm.Print_Area" localSheetId="1">'FY 25-26'!$A$1:$J$72</definedName>
    <definedName name="_xlnm.Print_Area" localSheetId="0">'FY 26-27'!$A$1:$J$72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5" i="5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14" i="5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B25" i="1" l="1"/>
  <c r="D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<sst xmlns="http://schemas.openxmlformats.org/spreadsheetml/2006/main" count="85" uniqueCount="18">
  <si>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</si>
  <si>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</si>
  <si>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</si>
  <si>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</si>
  <si>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</si>
  <si>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</si>
  <si>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</si>
  <si>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</si>
  <si>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</si>
  <si>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</si>
  <si>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RSI</t>
  </si>
  <si>
    <t xml:space="preserve">2) Mobile Sports Wagering Gross Gaming Revenue (GGR) is taxed at 51%. </t>
  </si>
  <si>
    <t>3) Rush Street Interactive began operating on 1/8/22.</t>
  </si>
  <si>
    <t xml:space="preserve"> Fiscal Year 2022/2023</t>
  </si>
  <si>
    <t xml:space="preserve"> Fiscal Year 2023/2024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</si>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</sst>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5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6" fontId="9" fillId="0" borderId="4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5" fontId="0" fillId="0" borderId="0" xfId="0" applyNumberFormat="1"/>
    <xf numFmtId="6" fontId="0" fillId="0" borderId="5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164" fontId="6" fillId="0" borderId="0" xfId="0" applyNumberFormat="1" applyFont="1"/>
    <xf numFmtId="164" fontId="6" fillId="0" borderId="6" xfId="0" applyNumberFormat="1" applyFont="1" applyBorder="1"/>
    <xf numFmtId="6" fontId="3" fillId="0" borderId="0" xfId="1" applyNumberFormat="1" applyAlignment="1" applyProtection="1"/>
    <xf numFmtId="6" fontId="1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5" fontId="0" fillId="0" borderId="5" xfId="0" applyNumberFormat="1" applyBorder="1"/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166" fontId="7" fillId="0" borderId="0" xfId="0" applyNumberFormat="1" applyFont="1" applyAlignment="1">
      <alignment horizontal="left" vertical="top" wrapText="1"/>
    </xf>
    <xf numFmtId="164" fontId="6" fillId="2" borderId="1" xfId="0" applyNumberFormat="1" applyFont="1" applyFill="1" applyBorder="1" applyAlignment="1">
      <alignment horizontal="center"/>
    </xf>
    <xf numFmtId="164" fontId="6" fillId="2" borderId="2" xfId="0" applyNumberFormat="1" applyFont="1" applyFill="1" applyBorder="1" applyAlignment="1">
      <alignment horizontal="center"/>
    </xf>
    <xf numFmtId="164" fontId="6" fillId="2" borderId="3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wrapText="1"/>
    </xf>
    <xf numFmtId="0" fontId="10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4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313373</xdr:colOff>
      <xdr:row>5</xdr:row>
      <xdr:rowOff>476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0A91D6-1289-4D22-8127-3D589AA5E83C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075373" cy="97202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313373</xdr:colOff>
      <xdr:row>5</xdr:row>
      <xdr:rowOff>476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89136-BDB4-486B-817B-B110683E852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075373" cy="97202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313373</xdr:colOff>
      <xdr:row>5</xdr:row>
      <xdr:rowOff>476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9629EE-5EFF-445F-B5E9-83A30741638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071563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309563</xdr:colOff>
      <xdr:row>4</xdr:row>
      <xdr:rowOff>183356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F7C11F-335A-44B7-A03D-37150EE27AE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071563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309563</xdr:colOff>
      <xdr:row>4</xdr:row>
      <xdr:rowOff>183356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970EC1-7800-4B53-AC7E-C76FF2E31D1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071563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9528</xdr:rowOff>
    </xdr:from>
    <xdr:to>
      <xdr:col>1</xdr:col>
      <xdr:colOff>280988</xdr:colOff>
      <xdr:row>4</xdr:row>
      <xdr:rowOff>164309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E45BB4-E57F-4B88-A1F1-FA821742210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8"/>
          <a:ext cx="1071563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62909-FB83-4959-84D4-C183BA82FE63}">
  <sheetPr>
    <pageSetUpPr fitToPage="1"/>
  </sheetPr>
  <dimension ref="A1:X208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N43" sqref="N43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17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3"/>
      <c r="C9" s="33"/>
      <c r="D9" s="33"/>
      <c r="E9" s="33"/>
      <c r="F9" s="33"/>
      <c r="G9" s="33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10896561.23</v>
      </c>
      <c r="F13" s="23">
        <v>579898.85999999917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12015581.560000001</v>
      </c>
      <c r="F14" s="23">
        <v>1263002.3700000001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9340956.6199999992</v>
      </c>
      <c r="F15" s="23">
        <v>1018438.79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9855289.0699999984</v>
      </c>
      <c r="F16" s="23">
        <v>1123094.189999999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9135699.120000001</v>
      </c>
      <c r="F17" s="23">
        <v>1348556.2200000002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9255336.1799999997</v>
      </c>
      <c r="F18" s="23">
        <v>810390.94999999984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10782482.339999998</v>
      </c>
      <c r="F19" s="23">
        <v>1028841.6200000002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9151987.6999999993</v>
      </c>
      <c r="F20" s="23">
        <v>711417.09999999986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10275059.050000001</v>
      </c>
      <c r="F21" s="23">
        <v>979670.9700000002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9393447.870000001</v>
      </c>
      <c r="F22" s="23">
        <v>78997.400000000605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8464883.4100000001</v>
      </c>
      <c r="F23" s="23">
        <v>890552.73000000021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9960026.2100000009</v>
      </c>
      <c r="F24" s="23">
        <v>41379.209999999264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10970067.189999999</v>
      </c>
      <c r="F25" s="23">
        <v>534031.21999999962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11826560.98</v>
      </c>
      <c r="F26" s="23">
        <v>1177585.1700000009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11504454.380000001</v>
      </c>
      <c r="F27" s="23">
        <v>708615.91000000015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C28" s="21">
        <v>9785622.8800000008</v>
      </c>
      <c r="F28" s="23">
        <v>893399.48000000068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C29" s="21">
        <v>8559148.1900000013</v>
      </c>
      <c r="F29" s="23">
        <v>857671.97000000055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C30" s="21">
        <v>7583965.0999999996</v>
      </c>
      <c r="F30" s="23">
        <v>470004.74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C31" s="21">
        <v>8336994.5399999991</v>
      </c>
      <c r="F31" s="23">
        <v>1070350.1699999995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C32" s="21">
        <v>9053829.9299999997</v>
      </c>
      <c r="F32" s="23">
        <v>540467.99000000092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C33" s="21">
        <v>8456560.0999999996</v>
      </c>
      <c r="F33" s="23">
        <v>1034164.5200000004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C34" s="21">
        <v>7937852.3799999999</v>
      </c>
      <c r="F34" s="23">
        <v>926075.4499999996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C35" s="21">
        <v>8585058.290000001</v>
      </c>
      <c r="F35" s="23">
        <v>755239.33000000019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C36" s="21">
        <v>10118207.57</v>
      </c>
      <c r="F36" s="23">
        <v>1066033.0600000003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C37" s="21">
        <v>10420723.630000001</v>
      </c>
      <c r="F37" s="23">
        <v>608147.85000000021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C38" s="21">
        <v>10991489.520000001</v>
      </c>
      <c r="F38" s="23">
        <v>715639.77000000118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C39" s="21">
        <v>10286401.77</v>
      </c>
      <c r="F39" s="23">
        <v>830090.16000000027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C40" s="21">
        <v>13651561.65</v>
      </c>
      <c r="F40" s="23">
        <v>1067377.21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F41" s="23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F42" s="23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F43" s="23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F44" s="23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F45" s="23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F46" s="23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F47" s="23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F48" s="23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F49" s="23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F50" s="23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F51" s="23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F52" s="23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F53" s="23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F54" s="23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F55" s="23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F56" s="23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F57" s="23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F58" s="23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F59" s="23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F60" s="23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F61" s="23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F62" s="23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F63" s="23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F64" s="23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23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276595808.45999992</v>
      </c>
      <c r="F67" s="34">
        <f>SUM(F13:F66)</f>
        <v>23129134.41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F18">
    <cfRule type="cellIs" dxfId="3" priority="1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33FC1-8E29-4E1B-AFD8-75E45C5DC793}">
  <sheetPr>
    <pageSetUpPr fitToPage="1"/>
  </sheetPr>
  <dimension ref="A1:X208"/>
  <sheetViews>
    <sheetView zoomScaleNormal="100" workbookViewId="0">
      <pane xSplit="2" ySplit="12" topLeftCell="C61" activePane="bottomRight" state="frozen"/>
      <selection activeCell="B33" sqref="B33"/>
      <selection pane="topRight" activeCell="B33" sqref="B33"/>
      <selection pane="bottomLeft" activeCell="B33" sqref="B33"/>
      <selection pane="bottomRight" activeCell="K66" sqref="K66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16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3"/>
      <c r="C9" s="33"/>
      <c r="D9" s="33"/>
      <c r="E9" s="33"/>
      <c r="F9" s="33"/>
      <c r="G9" s="33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11905992.57</v>
      </c>
      <c r="F13" s="23">
        <v>-116576.54000000004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11573677.359999999</v>
      </c>
      <c r="F14" s="23">
        <v>1134740.9800000002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9290602.3300000001</v>
      </c>
      <c r="F15" s="23">
        <v>900287.12000000011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9447528.370000001</v>
      </c>
      <c r="F16" s="23">
        <v>583186.30000000051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10334135.710000001</v>
      </c>
      <c r="F17" s="23">
        <v>897650.99000000022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10773700.950000001</v>
      </c>
      <c r="F18" s="23">
        <v>484947.81999999983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10716800.09</v>
      </c>
      <c r="F19" s="23">
        <v>944454.7999999997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11061517.59</v>
      </c>
      <c r="F20" s="23">
        <v>757570.74000000022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10843957.549999999</v>
      </c>
      <c r="F21" s="23">
        <v>997348.47999999986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12640565.27</v>
      </c>
      <c r="F22" s="23">
        <v>1094511.71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10340232.039999999</v>
      </c>
      <c r="F23" s="23">
        <v>790123.2000000003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9722116.0800000001</v>
      </c>
      <c r="F24" s="23">
        <v>1001982.4799999999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9211481.3900000006</v>
      </c>
      <c r="F25" s="23">
        <v>971343.16000000038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8273958.919999999</v>
      </c>
      <c r="F26" s="23">
        <v>669371.70999999985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8864152.25</v>
      </c>
      <c r="F27" s="23">
        <v>971864.42000000039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7812760.0600000005</v>
      </c>
      <c r="F28" s="23">
        <v>440375.25999999978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6246346.8600000003</v>
      </c>
      <c r="F29" s="23">
        <v>937473.58000000007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8494110.4600000009</v>
      </c>
      <c r="F30" s="23">
        <v>658590.18000000005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8801289.2699999996</v>
      </c>
      <c r="F31" s="23">
        <v>908816.12999999954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8154143.4500000002</v>
      </c>
      <c r="F32" s="23">
        <v>776444.22999999975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9101355.5600000005</v>
      </c>
      <c r="F33" s="23">
        <v>823473.73999999953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8939006.7599999998</v>
      </c>
      <c r="F34" s="23">
        <v>854385.24000000046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10468503.49</v>
      </c>
      <c r="F35" s="23">
        <v>1211704.6600000001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11581616.15</v>
      </c>
      <c r="F36" s="23">
        <v>774861.62999999849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10379827.09</v>
      </c>
      <c r="F37" s="23">
        <v>1054140.9199999995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10712083.65</v>
      </c>
      <c r="F38" s="23">
        <v>514235.8800000014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10823167.050000001</v>
      </c>
      <c r="F39" s="23">
        <v>1221864.1700000002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13019875.620000001</v>
      </c>
      <c r="F40" s="23">
        <v>568011.51000000024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11598933.82</v>
      </c>
      <c r="F41" s="23">
        <v>1301700.3899999994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11520257.840000002</v>
      </c>
      <c r="F42" s="23">
        <v>930216.30000000086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12070103.99</v>
      </c>
      <c r="F43" s="23">
        <v>859540.20999999926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11888040.039999999</v>
      </c>
      <c r="F44" s="23">
        <v>828900.29000000027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11985427.890000001</v>
      </c>
      <c r="F45" s="23">
        <v>1176231.6499999999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10476911.750000002</v>
      </c>
      <c r="F46" s="23">
        <v>906948.90000000049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10607390.76</v>
      </c>
      <c r="F47" s="23">
        <v>782043.54999999958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12117364.27</v>
      </c>
      <c r="F48" s="23">
        <v>1117450.3999999994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12223620.790000001</v>
      </c>
      <c r="F49" s="23">
        <v>1276964.3500000003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11135286.83</v>
      </c>
      <c r="F50" s="23">
        <v>554776.30000000028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14438086.359999999</v>
      </c>
      <c r="F51" s="23">
        <v>880559.30999999936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11298646.109999999</v>
      </c>
      <c r="F52" s="23">
        <v>813827.59999999893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12351520.43</v>
      </c>
      <c r="F53" s="23">
        <v>1338144.8199999996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11498284.299999999</v>
      </c>
      <c r="F54" s="23">
        <v>788625.33999999915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11523390.08</v>
      </c>
      <c r="F55" s="23">
        <v>1471295.1899999995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12283604.939999999</v>
      </c>
      <c r="F56" s="23">
        <v>659174.59000000008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10788628.739999998</v>
      </c>
      <c r="F57" s="23">
        <v>1337268.6399999994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12619048.240000002</v>
      </c>
      <c r="F58" s="23">
        <v>910846.5299999998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11349266.77</v>
      </c>
      <c r="F59" s="23">
        <v>1078871.73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11401177.060000002</v>
      </c>
      <c r="F60" s="23">
        <v>976757.24999999965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12806049.069999998</v>
      </c>
      <c r="F61" s="23">
        <v>964867.40000000026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12072843.829999998</v>
      </c>
      <c r="F62" s="23">
        <v>1340900.8199999998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12868484.75</v>
      </c>
      <c r="F63" s="23">
        <v>1306510.8699999994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11324473.810000001</v>
      </c>
      <c r="F64" s="23">
        <v>1227729.1399999997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23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563781346.40999997</v>
      </c>
      <c r="F67" s="34">
        <f>SUM(F13:F66)</f>
        <v>47657336.07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FA58C-A0B9-463B-8A46-DBBE7F7834BF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15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3"/>
      <c r="C9" s="33"/>
      <c r="D9" s="33"/>
      <c r="E9" s="33"/>
      <c r="F9" s="33"/>
      <c r="G9" s="33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11123931.869999999</v>
      </c>
      <c r="F13" s="21">
        <v>975829.8700000036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12700740.939999994</v>
      </c>
      <c r="F14" s="21">
        <v>1021497.9999999949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27355782.260000013</v>
      </c>
      <c r="F15" s="21">
        <v>248702.51000002725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12720082.889999997</v>
      </c>
      <c r="F16" s="21">
        <v>796623.62999999418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11610886.489999995</v>
      </c>
      <c r="F17" s="21">
        <v>869855.95000000019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11345336.459999995</v>
      </c>
      <c r="F18" s="21">
        <v>169783.81000000308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11405874.810000001</v>
      </c>
      <c r="F19" s="21">
        <v>963431.28000000853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10277252.839999994</v>
      </c>
      <c r="F20" s="21">
        <v>1054842.1299999971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8610034.2699999996</v>
      </c>
      <c r="F21" s="21">
        <v>1062246.939999993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9995391.5599999987</v>
      </c>
      <c r="F22" s="21">
        <v>588789.07000000076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19712429.41</v>
      </c>
      <c r="F23" s="21">
        <v>512884.95999998809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24925981.919999998</v>
      </c>
      <c r="F24" s="21">
        <v>712207.62999998382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9722765.9499999974</v>
      </c>
      <c r="F25" s="21">
        <v>854785.37999999733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11010401.709999997</v>
      </c>
      <c r="F26" s="21">
        <v>545686.17999999668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9129988.849999994</v>
      </c>
      <c r="F27" s="21">
        <v>821220.47999999777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8813971.6600000001</v>
      </c>
      <c r="F28" s="21">
        <v>917407.87999999966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7486744.5600000005</v>
      </c>
      <c r="F29" s="21">
        <v>729012.69000000088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6698916.2899999972</v>
      </c>
      <c r="F30" s="21">
        <v>763005.64999999723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21">
        <v>8737940.5500000007</v>
      </c>
      <c r="F31" s="21">
        <v>500771.9799999973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21">
        <v>9105359.9600000028</v>
      </c>
      <c r="F32" s="21">
        <v>645042.4900000015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21">
        <v>7815702.2300000032</v>
      </c>
      <c r="F33" s="21">
        <v>711778.10000000033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21">
        <v>7003230.8699999982</v>
      </c>
      <c r="F34" s="21">
        <v>672189.199999996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21">
        <v>13142192.160000002</v>
      </c>
      <c r="F35" s="21">
        <v>1032041.4700000106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21">
        <v>12224655.690000001</v>
      </c>
      <c r="F36" s="21">
        <v>669462.21000000043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21">
        <v>10111325.25</v>
      </c>
      <c r="F37" s="21">
        <v>913880.02000000223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21">
        <v>9254205.3699999973</v>
      </c>
      <c r="F38" s="21">
        <v>891883.73999999708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8888822.7599999979</v>
      </c>
      <c r="F39" s="21">
        <v>900741.29999999946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9354793.6499999966</v>
      </c>
      <c r="F40" s="21">
        <v>1042290.409999996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10489465.350000001</v>
      </c>
      <c r="F41" s="21">
        <v>503899.58999999624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11106027.51</v>
      </c>
      <c r="F42" s="21">
        <v>495547.47000000277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10819411.220000001</v>
      </c>
      <c r="F43" s="21">
        <v>1068423.330000001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10864920.250000004</v>
      </c>
      <c r="F44" s="21">
        <v>480531.19999999925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10859476.929999998</v>
      </c>
      <c r="F45" s="21">
        <v>1058200.5599999935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21">
        <v>10127024.770000005</v>
      </c>
      <c r="F46" s="21">
        <v>797580.10000000149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21">
        <v>10803365.789999997</v>
      </c>
      <c r="F47" s="21">
        <v>1128564.5799999991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21">
        <v>12182959.609999999</v>
      </c>
      <c r="F48" s="21">
        <v>1162585.1199999994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21">
        <v>10594925.130000003</v>
      </c>
      <c r="F49" s="21">
        <v>648691.05999999645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21">
        <v>9516035.8499999959</v>
      </c>
      <c r="F50" s="21">
        <v>501328.87999999791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21">
        <v>10890536.539999999</v>
      </c>
      <c r="F51" s="21">
        <v>708625.91000000155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21">
        <v>10064048.83</v>
      </c>
      <c r="F52" s="21">
        <v>955031.55000000552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21">
        <v>12137504.469999989</v>
      </c>
      <c r="F53" s="21">
        <v>802322.91999999341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21">
        <v>10647710.659999996</v>
      </c>
      <c r="F54" s="21">
        <v>986846.05999999598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21">
        <v>11669764.540000001</v>
      </c>
      <c r="F55" s="21">
        <v>867328.42000000924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21">
        <v>10310793.270000001</v>
      </c>
      <c r="F56" s="21">
        <v>502830.60000000615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21">
        <v>10684162.019999998</v>
      </c>
      <c r="F57" s="21">
        <v>1173220.2999999975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21">
        <v>11729076.930000005</v>
      </c>
      <c r="F58" s="21">
        <v>311834.61000000872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21">
        <v>10152610.089999998</v>
      </c>
      <c r="F59" s="21">
        <v>894666.25000000128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21">
        <v>8734118.9799999986</v>
      </c>
      <c r="F60" s="21">
        <v>978308.70999999612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21">
        <v>11411191.619999995</v>
      </c>
      <c r="F61" s="21">
        <v>486885.60999999684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21">
        <v>11045600.779999997</v>
      </c>
      <c r="F62" s="21">
        <v>745269.57999999332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21">
        <v>11837909.529999999</v>
      </c>
      <c r="F63" s="21">
        <v>765691.7500000007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21">
        <v>11294246.489999998</v>
      </c>
      <c r="F64" s="21">
        <v>1026750.93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580257630.38999987</v>
      </c>
      <c r="F67" s="24">
        <f>SUM(F13:F66)</f>
        <v>40638860.049999975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53C64-2127-4C4B-8D8E-CFE542FEEE82}">
  <sheetPr>
    <pageSetUpPr fitToPage="1"/>
  </sheetPr>
  <dimension ref="A1:X208"/>
  <sheetViews>
    <sheetView zoomScaleNormal="100" workbookViewId="0">
      <pane xSplit="2" ySplit="12" topLeftCell="C49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: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14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3"/>
      <c r="C9" s="33"/>
      <c r="D9" s="33"/>
      <c r="E9" s="33"/>
      <c r="F9" s="33"/>
      <c r="G9" s="33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11079331.729999999</v>
      </c>
      <c r="F13" s="21">
        <v>662211.26999999827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12547654.530000003</v>
      </c>
      <c r="F14" s="23">
        <v>-1031811.3800000031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12612144.499999998</v>
      </c>
      <c r="F15" s="21">
        <v>37777.890000009997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10200636.060000001</v>
      </c>
      <c r="F16" s="21">
        <v>865191.8300000038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9925698.1700000037</v>
      </c>
      <c r="F17" s="21">
        <v>850272.2599999978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8863432.6599999983</v>
      </c>
      <c r="F18" s="21">
        <v>1024609.2900000052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8187202.0200000014</v>
      </c>
      <c r="F19" s="21">
        <v>604416.87999999954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8174441.830000001</v>
      </c>
      <c r="F20" s="21">
        <v>693188.97000000207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7258563.8600000013</v>
      </c>
      <c r="F21" s="21">
        <v>458670.97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8958249.2099999934</v>
      </c>
      <c r="F22" s="21">
        <v>735569.9800000001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7368109.1499999994</v>
      </c>
      <c r="F23" s="21">
        <v>295484.77999999747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6689153.5500000007</v>
      </c>
      <c r="F24" s="21">
        <v>557757.549999999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7433030.6999999993</v>
      </c>
      <c r="F25" s="21">
        <v>406554.9299999997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7544535.9399999995</v>
      </c>
      <c r="F26" s="21">
        <v>547982.46000000008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8907716.3900000025</v>
      </c>
      <c r="F27" s="21">
        <v>604689.12000000093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6610759.3499999987</v>
      </c>
      <c r="F28" s="21">
        <v>687991.3499999987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8474420.9499999993</v>
      </c>
      <c r="F29" s="21">
        <v>774868.55999999703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7909919.2599999998</v>
      </c>
      <c r="F30" s="21">
        <v>877430.28999999841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7931548.479999993</v>
      </c>
      <c r="F31" s="21">
        <v>492380.59999999334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8388101.2299999967</v>
      </c>
      <c r="F32" s="21">
        <v>518068.7399999972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8541999.0899999961</v>
      </c>
      <c r="F33" s="21">
        <v>917718.73999999394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7232269.6799999978</v>
      </c>
      <c r="F34" s="21">
        <v>794849.02999999525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10076990.18</v>
      </c>
      <c r="F35" s="21">
        <v>915055.43000000017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9614203.9799999986</v>
      </c>
      <c r="F36" s="21">
        <v>934545.96000000392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10198124.800000006</v>
      </c>
      <c r="F37" s="21">
        <v>1030666.8700000133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11540691.319999993</v>
      </c>
      <c r="F38" s="21">
        <v>1184811.7299999967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18222042.310000006</v>
      </c>
      <c r="F39" s="23">
        <v>-505562.3900000063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17498545.839999996</v>
      </c>
      <c r="F40" s="21">
        <v>1320360.0299999993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22705349.559999999</v>
      </c>
      <c r="F41" s="21">
        <v>383836.39999999944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42178179.320000008</v>
      </c>
      <c r="F42" s="23">
        <v>-1640476.7200000109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21531901.889999993</v>
      </c>
      <c r="F43" s="23">
        <v>3867755.2000000076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18835233.789999999</v>
      </c>
      <c r="F44" s="21">
        <v>1336923.3400000033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15464665.850000001</v>
      </c>
      <c r="F45" s="21">
        <v>1437118.7200000072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22108831.77</v>
      </c>
      <c r="F46" s="21">
        <v>1098750.1800000074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17286783.839999992</v>
      </c>
      <c r="F47" s="21">
        <v>771267.67000000435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15938846.759999994</v>
      </c>
      <c r="F48" s="21">
        <v>1107822.120000005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11658313.949999999</v>
      </c>
      <c r="F49" s="21">
        <v>1082780.4299999971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9394717.0100000035</v>
      </c>
      <c r="F50" s="21">
        <v>335745.68000000977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10960289.919999994</v>
      </c>
      <c r="F51" s="21">
        <v>812251.68999999831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11704170.109999996</v>
      </c>
      <c r="F52" s="21">
        <v>689995.38000000245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14019899.419999998</v>
      </c>
      <c r="F53" s="21">
        <v>653339.72999999835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10697296.069999995</v>
      </c>
      <c r="F54" s="21">
        <v>1185780.1299999997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12300093.129999997</v>
      </c>
      <c r="F55" s="21">
        <v>740619.54000000795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9251296.8299999982</v>
      </c>
      <c r="F56" s="21">
        <v>605194.93000000005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10399318.900000006</v>
      </c>
      <c r="F57" s="21">
        <v>680226.78000001039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12207295.459999999</v>
      </c>
      <c r="F58" s="23">
        <v>179966.34999999823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11444324.849999998</v>
      </c>
      <c r="F59" s="21">
        <v>902354.38000000129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11013930.839999992</v>
      </c>
      <c r="F60" s="21">
        <v>1097047.21999999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13121113.920000004</v>
      </c>
      <c r="F61" s="21">
        <v>831333.21000000252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12731320.68</v>
      </c>
      <c r="F62" s="21">
        <v>841928.79999999376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20290601.110000007</v>
      </c>
      <c r="F63" s="21">
        <v>616199.20999999763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18394607.899999999</v>
      </c>
      <c r="F64" s="21">
        <v>944749.00000000827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643627899.64999998</v>
      </c>
      <c r="F67" s="24">
        <f>SUM(F13:F66)</f>
        <v>37818261.110000029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C13:E13 F13:F16 E14:E16 C14:D25 E17:F25">
    <cfRule type="cellIs" dxfId="2" priority="6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C1A0B-A904-457B-9556-748BC7E87A71}">
  <sheetPr>
    <pageSetUpPr fitToPage="1"/>
  </sheetPr>
  <dimension ref="A1:X207"/>
  <sheetViews>
    <sheetView zoomScaleNormal="100" workbookViewId="0">
      <pane xSplit="2" ySplit="12" topLeftCell="C52" activePane="bottomRight" state="frozen"/>
      <selection activeCell="B33" sqref="B33"/>
      <selection pane="topRight" activeCell="B33" sqref="B33"/>
      <selection pane="bottomLeft" activeCell="B33" sqref="B33"/>
      <selection pane="bottomRight" activeCell="C65" sqref="C65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13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3"/>
      <c r="C9" s="33"/>
      <c r="D9" s="33"/>
      <c r="E9" s="33"/>
      <c r="F9" s="33"/>
      <c r="G9" s="33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C13" s="21">
        <v>8185567.0700000012</v>
      </c>
      <c r="F13" s="21">
        <v>324623.83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C14" s="21">
        <v>9254760.7699999996</v>
      </c>
      <c r="F14" s="21">
        <v>413504.09999999986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C15" s="21">
        <v>7544834.2999999998</v>
      </c>
      <c r="F15" s="21">
        <v>236575.40999999968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C16" s="21">
        <v>9798122.6199999992</v>
      </c>
      <c r="F16" s="21">
        <v>679843.21999999962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C17" s="21">
        <v>8231281.2699999996</v>
      </c>
      <c r="F17" s="21">
        <v>384558.26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C18" s="21">
        <v>7549694.3500000006</v>
      </c>
      <c r="F18" s="21">
        <v>736298.90000000037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C19" s="21">
        <v>7177595.7999999998</v>
      </c>
      <c r="F19" s="21">
        <v>603015.47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C20" s="21">
        <v>6583926.5900000008</v>
      </c>
      <c r="F20" s="21">
        <v>284688.82999999996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C21" s="21">
        <v>6965401.2199999997</v>
      </c>
      <c r="F21" s="21">
        <v>39569.550000000003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C22" s="21">
        <v>7361038.8899999997</v>
      </c>
      <c r="F22" s="21">
        <v>407122.08999999985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C23" s="21">
        <v>5470900.0899999999</v>
      </c>
      <c r="F23" s="21">
        <v>483504.55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C24" s="21">
        <v>6137745.04</v>
      </c>
      <c r="F24" s="21">
        <v>329339.65000000002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C25" s="21">
        <v>5285712.07</v>
      </c>
      <c r="F25" s="21">
        <v>323273.93999999959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C26" s="21">
        <v>5818166.5300000003</v>
      </c>
      <c r="F26" s="21">
        <v>407199.7699999999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4970684.8</v>
      </c>
      <c r="F27" s="21">
        <v>511424.70999999985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4493100.92</v>
      </c>
      <c r="F28" s="21">
        <v>252225.56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3590542.0999999996</v>
      </c>
      <c r="F29" s="21">
        <v>155316.39000000028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4504709.82</v>
      </c>
      <c r="F30" s="21">
        <v>254754.85999999807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4734019.8</v>
      </c>
      <c r="F31" s="21">
        <v>398299.58999999968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5697548.1100000022</v>
      </c>
      <c r="F32" s="21">
        <v>354023.95000000106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6804171.4300000025</v>
      </c>
      <c r="F33" s="21">
        <v>544985.04000000167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6308364.5300000012</v>
      </c>
      <c r="F34" s="21">
        <v>410632.58999999741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7102139.6899999985</v>
      </c>
      <c r="F35" s="21">
        <v>577243.67000000179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8610345.1899999995</v>
      </c>
      <c r="F36" s="21">
        <v>642761.44000000018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7765052.8900000025</v>
      </c>
      <c r="F37" s="21">
        <v>613409.22999999928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8797192.799999997</v>
      </c>
      <c r="F38" s="21">
        <v>454251.89999999304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10112118.759999996</v>
      </c>
      <c r="F39" s="21">
        <v>32266.149999990012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8781479.8300000001</v>
      </c>
      <c r="F40" s="21">
        <v>857327.82999999425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8418537.9600000009</v>
      </c>
      <c r="F41" s="21">
        <v>690995.00000000582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9649695.9499999974</v>
      </c>
      <c r="F42" s="21">
        <v>633599.94999999239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9133743.0300000012</v>
      </c>
      <c r="F43" s="21">
        <v>252815.949999998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9958359.9600000065</v>
      </c>
      <c r="F44" s="21">
        <v>1006307.9600000062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7728114.889999995</v>
      </c>
      <c r="F45" s="21">
        <v>485491.539999992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8202700.4399999985</v>
      </c>
      <c r="F46" s="21">
        <v>470829.09999999288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10732805.239999995</v>
      </c>
      <c r="F47" s="21">
        <v>477679.94999999763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10586753.560000002</v>
      </c>
      <c r="F48" s="21">
        <v>96239.420000005499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9806668.3300000001</v>
      </c>
      <c r="F49" s="21">
        <v>768731.44999999425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9584100.8099999987</v>
      </c>
      <c r="F50" s="21">
        <v>310696.230000004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8242151.3499999978</v>
      </c>
      <c r="F51" s="21">
        <v>597114.329999996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10494789.4</v>
      </c>
      <c r="F52" s="21">
        <v>342416.35999999044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9711321.9199999999</v>
      </c>
      <c r="F53" s="21">
        <v>277860.62000000488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10842573.699999994</v>
      </c>
      <c r="F54" s="21">
        <v>425646.5499999962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10933935.779999999</v>
      </c>
      <c r="F55" s="21">
        <v>1141395.3699999973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11670881.74</v>
      </c>
      <c r="F56" s="21">
        <v>345593.14000000467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9152395.9699999988</v>
      </c>
      <c r="F57" s="21">
        <v>1226223.4600000002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8964975.9499999993</v>
      </c>
      <c r="F58" s="23">
        <v>-61909.32999999763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9558874.370000001</v>
      </c>
      <c r="F59" s="21">
        <v>582200.0499999969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9275587.7600000016</v>
      </c>
      <c r="F60" s="21">
        <v>635659.81999999541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10587341.250000002</v>
      </c>
      <c r="F61" s="21">
        <v>719695.45999999461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11830920</v>
      </c>
      <c r="F62" s="21">
        <v>691898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11568309</v>
      </c>
      <c r="F63" s="21">
        <v>1169148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11340421.980000006</v>
      </c>
      <c r="F64" s="21">
        <v>744965.01000000536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4">
        <f>SUM(C13:C65)</f>
        <v>431612177.61999995</v>
      </c>
      <c r="F66" s="24">
        <f>SUM(F13:F65)</f>
        <v>25743333.869999945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5"/>
      <c r="D67" s="25"/>
      <c r="E67" s="25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6" t="s">
        <v>5</v>
      </c>
      <c r="B68" s="26"/>
      <c r="C68" s="25"/>
      <c r="D68" s="25"/>
      <c r="E68" s="25"/>
      <c r="F68" s="25"/>
      <c r="G68" s="25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37" t="s">
        <v>9</v>
      </c>
      <c r="B69" s="37"/>
      <c r="C69" s="37"/>
      <c r="D69" s="37"/>
      <c r="E69" s="37"/>
      <c r="F69" s="37"/>
      <c r="G69" s="37"/>
      <c r="H69" s="37"/>
      <c r="I69" s="37"/>
      <c r="J69" s="37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37" t="s">
        <v>11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8" t="s">
        <v>10</v>
      </c>
      <c r="B71" s="38"/>
      <c r="C71" s="38"/>
      <c r="D71" s="38"/>
      <c r="E71" s="38"/>
      <c r="F71" s="38"/>
      <c r="G71" s="38"/>
      <c r="H71" s="38"/>
      <c r="I71" s="38"/>
      <c r="J71" s="38"/>
      <c r="K71"/>
      <c r="L71"/>
      <c r="M71"/>
      <c r="N71"/>
      <c r="O71"/>
      <c r="P71"/>
      <c r="Q71"/>
      <c r="R71"/>
      <c r="S71"/>
    </row>
    <row r="72" spans="1:19" x14ac:dyDescent="0.25">
      <c r="G72" s="2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5"/>
      <c r="I101" s="22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s="25" customFormat="1" x14ac:dyDescent="0.25">
      <c r="B103" s="6"/>
      <c r="C103" s="21"/>
      <c r="D103" s="21"/>
      <c r="E103" s="21"/>
      <c r="F103" s="21"/>
      <c r="G103" s="21"/>
      <c r="H103" s="21"/>
      <c r="I103" s="21"/>
      <c r="J103" s="22"/>
      <c r="K103" s="21"/>
      <c r="M103" s="22"/>
      <c r="N103" s="21"/>
      <c r="O103" s="21"/>
      <c r="P103" s="21"/>
      <c r="Q103" s="21"/>
      <c r="R103" s="21"/>
      <c r="S103" s="21"/>
    </row>
    <row r="104" spans="2:21" s="25" customFormat="1" x14ac:dyDescent="0.25">
      <c r="B104" s="6"/>
      <c r="C104" s="21"/>
      <c r="D104" s="21"/>
      <c r="E104" s="21"/>
      <c r="F104" s="21"/>
      <c r="G104" s="21"/>
      <c r="H104" s="27"/>
      <c r="I104" s="27"/>
      <c r="J104" s="28"/>
      <c r="K104" s="27"/>
      <c r="M104" s="22"/>
      <c r="N104" s="21"/>
      <c r="O104" s="21"/>
      <c r="P104" s="21"/>
      <c r="Q104" s="21"/>
      <c r="R104" s="21"/>
      <c r="S104" s="21"/>
    </row>
    <row r="105" spans="2:21" x14ac:dyDescent="0.25">
      <c r="I105" s="22"/>
      <c r="L105" s="21"/>
      <c r="M105" s="21"/>
      <c r="T105" s="21"/>
      <c r="U105" s="21"/>
    </row>
    <row r="106" spans="2:21" x14ac:dyDescent="0.25">
      <c r="I106" s="22"/>
      <c r="L106" s="27"/>
      <c r="M106" s="27"/>
      <c r="N106" s="27"/>
      <c r="O106" s="27"/>
      <c r="P106" s="27"/>
      <c r="Q106" s="27"/>
      <c r="R106" s="27"/>
      <c r="T106" s="21"/>
      <c r="U106" s="21"/>
    </row>
    <row r="107" spans="2:21" x14ac:dyDescent="0.25">
      <c r="I107" s="22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s="21" customFormat="1" x14ac:dyDescent="0.25">
      <c r="B117" s="6"/>
      <c r="I117" s="22"/>
      <c r="L117" s="22"/>
      <c r="M117" s="22"/>
      <c r="T117"/>
      <c r="U117"/>
      <c r="V117"/>
      <c r="W117"/>
      <c r="X117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16 E14:E16 C14:D34 E17:F34">
    <cfRule type="cellIs" dxfId="1" priority="7" operator="equal">
      <formula>0</formula>
    </cfRule>
  </conditionalFormatting>
  <conditionalFormatting sqref="C35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1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X168"/>
  <sheetViews>
    <sheetView workbookViewId="0">
      <pane xSplit="1" ySplit="12" topLeftCell="B13" activePane="bottomRight" state="frozen"/>
      <selection activeCell="B33" sqref="B33"/>
      <selection pane="topRight" activeCell="B33" sqref="B33"/>
      <selection pane="bottomLeft" activeCell="B33" sqref="B33"/>
      <selection pane="bottomRight" activeCell="H26" sqref="H26"/>
    </sheetView>
  </sheetViews>
  <sheetFormatPr defaultRowHeight="15" x14ac:dyDescent="0.25"/>
  <cols>
    <col min="1" max="1" width="11.85546875" style="6" customWidth="1"/>
    <col min="2" max="2" width="15.140625" style="21" customWidth="1"/>
    <col min="3" max="3" width="6" style="21" customWidth="1"/>
    <col min="4" max="4" width="12.85546875" style="21" bestFit="1" customWidth="1"/>
    <col min="5" max="5" width="8.28515625" style="21" customWidth="1"/>
    <col min="6" max="6" width="8.140625" style="21" customWidth="1"/>
    <col min="7" max="7" width="2.5703125" style="21" customWidth="1"/>
    <col min="8" max="8" width="7.7109375" style="21" customWidth="1"/>
    <col min="9" max="9" width="12.85546875" style="21" customWidth="1"/>
    <col min="10" max="10" width="11.570312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4"/>
      <c r="U3" s="4"/>
      <c r="V3" s="4"/>
      <c r="W3" s="4"/>
      <c r="X3" s="4"/>
    </row>
    <row r="4" spans="1:24" s="3" customFormat="1" ht="18" x14ac:dyDescent="0.25">
      <c r="A4" s="32"/>
      <c r="B4" s="32"/>
      <c r="C4" s="32"/>
      <c r="D4" s="32"/>
      <c r="E4" s="32"/>
      <c r="F4" s="3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0" t="s">
        <v>8</v>
      </c>
      <c r="B6" s="41"/>
      <c r="C6" s="41"/>
      <c r="D6" s="41"/>
      <c r="E6" s="42"/>
      <c r="F6" s="30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25.5" customHeight="1" x14ac:dyDescent="0.2">
      <c r="A8" s="36" t="s">
        <v>7</v>
      </c>
      <c r="B8" s="36"/>
      <c r="C8" s="36"/>
      <c r="D8" s="36"/>
      <c r="E8" s="36"/>
      <c r="F8" s="36"/>
    </row>
    <row r="9" spans="1:24" s="13" customFormat="1" ht="12" customHeight="1" x14ac:dyDescent="0.2">
      <c r="A9" s="33"/>
      <c r="B9" s="33"/>
      <c r="C9" s="33"/>
      <c r="D9" s="33"/>
      <c r="E9" s="33"/>
      <c r="F9" s="33"/>
    </row>
    <row r="10" spans="1:24" s="13" customFormat="1" ht="12.75" x14ac:dyDescent="0.2">
      <c r="A10" s="11"/>
      <c r="B10" s="15" t="s">
        <v>6</v>
      </c>
      <c r="C10" s="15"/>
      <c r="D10" s="15" t="s">
        <v>6</v>
      </c>
      <c r="E10" s="15"/>
      <c r="F10" s="12"/>
      <c r="G10" s="12"/>
    </row>
    <row r="11" spans="1:24" s="17" customFormat="1" ht="12.75" customHeight="1" x14ac:dyDescent="0.2">
      <c r="A11" s="16"/>
      <c r="B11" s="14" t="s">
        <v>0</v>
      </c>
      <c r="C11" s="14"/>
      <c r="D11" s="14" t="s">
        <v>0</v>
      </c>
      <c r="E11" s="14"/>
      <c r="F11" s="14"/>
      <c r="G11" s="14"/>
    </row>
    <row r="12" spans="1:24" s="17" customFormat="1" ht="12.75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14"/>
      <c r="G12" s="14"/>
    </row>
    <row r="13" spans="1:24" x14ac:dyDescent="0.25">
      <c r="A13" s="20">
        <v>44570</v>
      </c>
      <c r="B13" s="21">
        <v>2136535.4300000002</v>
      </c>
      <c r="D13" s="23">
        <v>517129.49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 spans="1:24" x14ac:dyDescent="0.25">
      <c r="A14" s="20">
        <f t="shared" ref="A14:A24" si="0">A13+7</f>
        <v>44577</v>
      </c>
      <c r="B14" s="21">
        <v>8497137.0800000001</v>
      </c>
      <c r="D14" s="23">
        <v>-70433.27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24" x14ac:dyDescent="0.25">
      <c r="A15" s="20">
        <f t="shared" si="0"/>
        <v>44584</v>
      </c>
      <c r="B15" s="21">
        <v>11561320.109999999</v>
      </c>
      <c r="D15" s="23">
        <v>784796.97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44591</v>
      </c>
      <c r="B16" s="21">
        <v>10229325.24</v>
      </c>
      <c r="D16" s="23">
        <v>-394458.21000000008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44598</v>
      </c>
      <c r="B17" s="21">
        <v>8437014.0999999996</v>
      </c>
      <c r="D17" s="23">
        <v>762242.96999999974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44605</v>
      </c>
      <c r="B18" s="21">
        <v>11499207.770000001</v>
      </c>
      <c r="D18" s="23">
        <v>284624.70999999996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44612</v>
      </c>
      <c r="B19" s="21">
        <v>8750825.2200000007</v>
      </c>
      <c r="D19" s="21">
        <v>535744.69000000018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44619</v>
      </c>
      <c r="B20" s="21">
        <v>8481024.7400000002</v>
      </c>
      <c r="D20" s="21">
        <v>598148.53999999992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44626</v>
      </c>
      <c r="B21" s="21">
        <v>8850262.8000000007</v>
      </c>
      <c r="D21" s="21">
        <v>549318.1599999998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44633</v>
      </c>
      <c r="B22" s="21">
        <v>10649132.16</v>
      </c>
      <c r="D22" s="21">
        <v>372389.83999999939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44640</v>
      </c>
      <c r="B23" s="21">
        <v>10950090.770000001</v>
      </c>
      <c r="D23" s="21">
        <v>718167.15000000026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44647</v>
      </c>
      <c r="B24" s="21">
        <v>8040397.540000001</v>
      </c>
      <c r="D24" s="23">
        <v>-48364.560000000056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ht="15.75" thickBot="1" x14ac:dyDescent="0.3">
      <c r="A25" s="6" t="s">
        <v>1</v>
      </c>
      <c r="B25" s="24">
        <f>SUM(B13:B24)</f>
        <v>108082272.95999999</v>
      </c>
      <c r="D25" s="24">
        <f>SUM(D13:D24)</f>
        <v>4609306.4799999986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ht="15.75" thickTop="1" x14ac:dyDescent="0.25">
      <c r="B26" s="25"/>
      <c r="C26" s="25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6" t="s">
        <v>5</v>
      </c>
      <c r="B27" s="25"/>
      <c r="C27" s="25"/>
      <c r="D27" s="25"/>
      <c r="E27" s="25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ht="53.25" customHeight="1" x14ac:dyDescent="0.25">
      <c r="A28" s="43" t="s">
        <v>9</v>
      </c>
      <c r="B28" s="43"/>
      <c r="C28" s="43"/>
      <c r="D28" s="43"/>
      <c r="E28" s="43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ht="26.25" customHeight="1" x14ac:dyDescent="0.25">
      <c r="A29" s="43" t="s">
        <v>11</v>
      </c>
      <c r="B29" s="43"/>
      <c r="C29" s="43"/>
      <c r="D29" s="43"/>
      <c r="E29" s="43"/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ht="26.25" customHeight="1" x14ac:dyDescent="0.25">
      <c r="A30" s="39" t="s">
        <v>12</v>
      </c>
      <c r="B30" s="39"/>
      <c r="C30" s="39"/>
      <c r="D30" s="39"/>
      <c r="E30" s="39"/>
      <c r="F30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ht="36.75" customHeight="1" x14ac:dyDescent="0.25">
      <c r="A31" s="44" t="s">
        <v>10</v>
      </c>
      <c r="B31" s="44"/>
      <c r="C31" s="44"/>
      <c r="D31" s="44"/>
      <c r="E31" s="44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E32" s="22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4:19" x14ac:dyDescent="0.25">
      <c r="E33" s="22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4:19" x14ac:dyDescent="0.25">
      <c r="E34" s="22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4:19" x14ac:dyDescent="0.25">
      <c r="D35" s="39"/>
      <c r="E35" s="39"/>
      <c r="F35" s="39"/>
      <c r="G35" s="39"/>
      <c r="H35" s="39"/>
      <c r="I35"/>
      <c r="J35"/>
      <c r="K35"/>
      <c r="L35"/>
      <c r="M35"/>
      <c r="N35"/>
      <c r="O35"/>
      <c r="P35"/>
      <c r="Q35"/>
      <c r="R35"/>
      <c r="S35"/>
    </row>
    <row r="36" spans="4:19" x14ac:dyDescent="0.25">
      <c r="E36" s="22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4:19" x14ac:dyDescent="0.25">
      <c r="E37" s="22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4:19" x14ac:dyDescent="0.25">
      <c r="E38" s="22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4:19" x14ac:dyDescent="0.25">
      <c r="E39" s="22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4:19" x14ac:dyDescent="0.25">
      <c r="E40" s="22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4:19" x14ac:dyDescent="0.25">
      <c r="E41" s="22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4:19" x14ac:dyDescent="0.25">
      <c r="E42" s="2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4:19" x14ac:dyDescent="0.25">
      <c r="E43" s="22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4:19" x14ac:dyDescent="0.25">
      <c r="E44" s="22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4:19" x14ac:dyDescent="0.25">
      <c r="E45" s="22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4:19" x14ac:dyDescent="0.25">
      <c r="E46" s="22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4:19" x14ac:dyDescent="0.25">
      <c r="E47" s="22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4:19" x14ac:dyDescent="0.25">
      <c r="E48" s="22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G62"/>
      <c r="H62"/>
      <c r="L62"/>
      <c r="M62"/>
      <c r="N62"/>
      <c r="O62"/>
      <c r="P62"/>
      <c r="Q62"/>
      <c r="R62"/>
      <c r="S62"/>
    </row>
    <row r="63" spans="1:19" x14ac:dyDescent="0.25">
      <c r="G63" s="25"/>
      <c r="H63" s="22"/>
      <c r="L63"/>
      <c r="M63"/>
      <c r="N63"/>
      <c r="O63"/>
      <c r="P63"/>
      <c r="Q63"/>
      <c r="R63"/>
      <c r="S63"/>
    </row>
    <row r="64" spans="1:19" s="25" customFormat="1" x14ac:dyDescent="0.25">
      <c r="A64" s="6"/>
      <c r="B64" s="21"/>
      <c r="C64" s="21"/>
      <c r="D64" s="21"/>
      <c r="E64" s="21"/>
      <c r="F64" s="21"/>
      <c r="H64" s="22"/>
      <c r="I64" s="22"/>
      <c r="J64" s="21"/>
      <c r="K64" s="21"/>
      <c r="M64" s="22"/>
      <c r="N64" s="21"/>
      <c r="O64" s="21"/>
      <c r="P64" s="21"/>
      <c r="Q64" s="21"/>
      <c r="R64" s="21"/>
      <c r="S64" s="21"/>
    </row>
    <row r="65" spans="1:24" s="25" customFormat="1" x14ac:dyDescent="0.25">
      <c r="A65" s="6"/>
      <c r="B65" s="21"/>
      <c r="C65" s="21"/>
      <c r="D65" s="21"/>
      <c r="E65" s="21"/>
      <c r="F65" s="21"/>
      <c r="G65" s="21"/>
      <c r="H65" s="21"/>
      <c r="I65" s="28"/>
      <c r="J65" s="27"/>
      <c r="K65" s="27"/>
      <c r="M65" s="22"/>
      <c r="N65" s="21"/>
      <c r="O65" s="21"/>
      <c r="P65" s="21"/>
      <c r="Q65" s="21"/>
      <c r="R65" s="21"/>
      <c r="S65" s="21"/>
    </row>
    <row r="66" spans="1:24" x14ac:dyDescent="0.25">
      <c r="G66" s="27"/>
      <c r="H66" s="27"/>
      <c r="L66" s="21"/>
      <c r="M66" s="21"/>
      <c r="T66" s="21"/>
      <c r="U66" s="21"/>
    </row>
    <row r="67" spans="1:24" x14ac:dyDescent="0.25">
      <c r="H67" s="22"/>
      <c r="L67" s="27"/>
      <c r="M67" s="27"/>
      <c r="N67" s="27"/>
      <c r="O67" s="27"/>
      <c r="P67" s="27"/>
      <c r="Q67" s="27"/>
      <c r="R67" s="27"/>
      <c r="T67" s="21"/>
      <c r="U67" s="21"/>
    </row>
    <row r="68" spans="1:24" x14ac:dyDescent="0.25">
      <c r="H68" s="22"/>
    </row>
    <row r="69" spans="1:24" x14ac:dyDescent="0.25">
      <c r="H69" s="22"/>
    </row>
    <row r="70" spans="1:24" x14ac:dyDescent="0.25">
      <c r="H70" s="22"/>
    </row>
    <row r="71" spans="1:24" x14ac:dyDescent="0.25">
      <c r="H71" s="22"/>
    </row>
    <row r="72" spans="1:24" x14ac:dyDescent="0.25">
      <c r="H72" s="22"/>
    </row>
    <row r="73" spans="1:24" x14ac:dyDescent="0.25">
      <c r="H73" s="22"/>
    </row>
    <row r="74" spans="1:24" x14ac:dyDescent="0.25">
      <c r="H74" s="22"/>
    </row>
    <row r="75" spans="1:24" x14ac:dyDescent="0.25">
      <c r="H75" s="22"/>
    </row>
    <row r="76" spans="1:24" x14ac:dyDescent="0.25">
      <c r="H76" s="22"/>
    </row>
    <row r="77" spans="1:24" x14ac:dyDescent="0.25">
      <c r="H77" s="22"/>
    </row>
    <row r="78" spans="1:24" s="21" customFormat="1" x14ac:dyDescent="0.25">
      <c r="A78" s="6"/>
      <c r="H78" s="22"/>
      <c r="L78" s="22"/>
      <c r="M78" s="22"/>
      <c r="T78"/>
      <c r="U78"/>
      <c r="V78"/>
      <c r="W78"/>
      <c r="X78"/>
    </row>
    <row r="79" spans="1:24" s="21" customFormat="1" x14ac:dyDescent="0.25">
      <c r="A79" s="6"/>
      <c r="H79" s="22"/>
      <c r="L79" s="22"/>
      <c r="M79" s="22"/>
      <c r="T79"/>
      <c r="U79"/>
      <c r="V79"/>
      <c r="W79"/>
      <c r="X79"/>
    </row>
    <row r="80" spans="1:24" s="21" customFormat="1" x14ac:dyDescent="0.25">
      <c r="A80" s="6"/>
      <c r="H80" s="22"/>
      <c r="L80" s="22"/>
      <c r="M80" s="22"/>
      <c r="T80"/>
      <c r="U80"/>
      <c r="V80"/>
      <c r="W80"/>
      <c r="X80"/>
    </row>
    <row r="81" spans="1:24" s="21" customFormat="1" x14ac:dyDescent="0.25">
      <c r="A81" s="6"/>
      <c r="H81" s="22"/>
      <c r="L81" s="22"/>
      <c r="M81" s="22"/>
      <c r="T81"/>
      <c r="U81"/>
      <c r="V81"/>
      <c r="W81"/>
      <c r="X81"/>
    </row>
    <row r="82" spans="1:24" s="21" customFormat="1" x14ac:dyDescent="0.25">
      <c r="A82" s="6"/>
      <c r="H82" s="22"/>
      <c r="L82" s="22"/>
      <c r="M82" s="22"/>
      <c r="T82"/>
      <c r="U82"/>
      <c r="V82"/>
      <c r="W82"/>
      <c r="X82"/>
    </row>
    <row r="83" spans="1:24" s="21" customFormat="1" x14ac:dyDescent="0.25">
      <c r="A83" s="6"/>
      <c r="H83" s="22"/>
      <c r="L83" s="22"/>
      <c r="M83" s="22"/>
      <c r="T83"/>
      <c r="U83"/>
      <c r="V83"/>
      <c r="W83"/>
      <c r="X83"/>
    </row>
    <row r="84" spans="1:24" s="21" customFormat="1" x14ac:dyDescent="0.25">
      <c r="A84" s="6"/>
      <c r="H84" s="22"/>
      <c r="L84" s="22"/>
      <c r="M84" s="22"/>
      <c r="T84"/>
      <c r="U84"/>
      <c r="V84"/>
      <c r="W84"/>
      <c r="X84"/>
    </row>
    <row r="85" spans="1:24" s="21" customFormat="1" x14ac:dyDescent="0.25">
      <c r="A85" s="6"/>
      <c r="H85" s="22"/>
      <c r="L85" s="22"/>
      <c r="M85" s="22"/>
      <c r="T85"/>
      <c r="U85"/>
      <c r="V85"/>
      <c r="W85"/>
      <c r="X85"/>
    </row>
    <row r="86" spans="1:24" s="21" customFormat="1" x14ac:dyDescent="0.25">
      <c r="A86" s="6"/>
      <c r="H86" s="22"/>
      <c r="L86" s="22"/>
      <c r="M86" s="22"/>
      <c r="T86"/>
      <c r="U86"/>
      <c r="V86"/>
      <c r="W86"/>
      <c r="X86"/>
    </row>
    <row r="87" spans="1:24" s="21" customFormat="1" x14ac:dyDescent="0.25">
      <c r="A87" s="6"/>
      <c r="H87" s="22"/>
      <c r="L87" s="22"/>
      <c r="M87" s="22"/>
      <c r="T87"/>
      <c r="U87"/>
      <c r="V87"/>
      <c r="W87"/>
      <c r="X87"/>
    </row>
    <row r="88" spans="1:24" s="21" customFormat="1" x14ac:dyDescent="0.25">
      <c r="A88" s="6"/>
      <c r="H88" s="22"/>
      <c r="L88" s="22"/>
      <c r="M88" s="22"/>
      <c r="T88"/>
      <c r="U88"/>
      <c r="V88"/>
      <c r="W88"/>
      <c r="X88"/>
    </row>
    <row r="89" spans="1:24" s="21" customFormat="1" x14ac:dyDescent="0.25">
      <c r="A89" s="6"/>
      <c r="H89" s="22"/>
      <c r="L89" s="22"/>
      <c r="M89" s="22"/>
      <c r="T89"/>
      <c r="U89"/>
      <c r="V89"/>
      <c r="W89"/>
      <c r="X89"/>
    </row>
    <row r="90" spans="1:24" s="21" customFormat="1" x14ac:dyDescent="0.25">
      <c r="A90" s="6"/>
      <c r="H90" s="22"/>
      <c r="L90" s="22"/>
      <c r="M90" s="22"/>
      <c r="T90"/>
      <c r="U90"/>
      <c r="V90"/>
      <c r="W90"/>
      <c r="X90"/>
    </row>
    <row r="91" spans="1:24" s="21" customFormat="1" x14ac:dyDescent="0.25">
      <c r="A91" s="6"/>
      <c r="H91" s="22"/>
      <c r="L91" s="22"/>
      <c r="M91" s="22"/>
      <c r="T91"/>
      <c r="U91"/>
      <c r="V91"/>
      <c r="W91"/>
      <c r="X91"/>
    </row>
    <row r="92" spans="1:24" s="21" customFormat="1" x14ac:dyDescent="0.25">
      <c r="A92" s="6"/>
      <c r="H92" s="22"/>
      <c r="L92" s="22"/>
      <c r="M92" s="22"/>
      <c r="T92"/>
      <c r="U92"/>
      <c r="V92"/>
      <c r="W92"/>
      <c r="X92"/>
    </row>
    <row r="93" spans="1:24" s="21" customFormat="1" x14ac:dyDescent="0.25">
      <c r="A93" s="6"/>
      <c r="H93" s="22"/>
      <c r="L93" s="22"/>
      <c r="M93" s="22"/>
      <c r="T93"/>
      <c r="U93"/>
      <c r="V93"/>
      <c r="W93"/>
      <c r="X93"/>
    </row>
    <row r="94" spans="1:24" s="21" customFormat="1" x14ac:dyDescent="0.25">
      <c r="A94" s="6"/>
      <c r="H94" s="22"/>
      <c r="L94" s="22"/>
      <c r="M94" s="22"/>
      <c r="T94"/>
      <c r="U94"/>
      <c r="V94"/>
      <c r="W94"/>
      <c r="X94"/>
    </row>
    <row r="95" spans="1:24" s="21" customFormat="1" x14ac:dyDescent="0.25">
      <c r="A95" s="6"/>
      <c r="H95" s="22"/>
      <c r="L95" s="22"/>
      <c r="M95" s="22"/>
      <c r="T95"/>
      <c r="U95"/>
      <c r="V95"/>
      <c r="W95"/>
      <c r="X95"/>
    </row>
    <row r="96" spans="1:24" s="21" customFormat="1" x14ac:dyDescent="0.25">
      <c r="A96" s="6"/>
      <c r="H96" s="22"/>
      <c r="L96" s="22"/>
      <c r="M96" s="22"/>
      <c r="T96"/>
      <c r="U96"/>
      <c r="V96"/>
      <c r="W96"/>
      <c r="X96"/>
    </row>
    <row r="97" spans="1:24" s="21" customFormat="1" x14ac:dyDescent="0.25">
      <c r="A97" s="6"/>
      <c r="H97" s="22"/>
      <c r="L97" s="22"/>
      <c r="M97" s="22"/>
      <c r="T97"/>
      <c r="U97"/>
      <c r="V97"/>
      <c r="W97"/>
      <c r="X97"/>
    </row>
    <row r="98" spans="1:24" s="21" customFormat="1" x14ac:dyDescent="0.25">
      <c r="A98" s="6"/>
      <c r="H98" s="22"/>
      <c r="L98" s="22"/>
      <c r="M98" s="22"/>
      <c r="T98"/>
      <c r="U98"/>
      <c r="V98"/>
      <c r="W98"/>
      <c r="X98"/>
    </row>
    <row r="99" spans="1:24" s="21" customFormat="1" x14ac:dyDescent="0.25">
      <c r="A99" s="6"/>
      <c r="H99" s="22"/>
      <c r="L99" s="22"/>
      <c r="M99" s="22"/>
      <c r="T99"/>
      <c r="U99"/>
      <c r="V99"/>
      <c r="W99"/>
      <c r="X99"/>
    </row>
    <row r="100" spans="1:24" s="21" customFormat="1" x14ac:dyDescent="0.25">
      <c r="A100" s="6"/>
      <c r="H100" s="22"/>
      <c r="L100" s="22"/>
      <c r="M100" s="22"/>
      <c r="T100"/>
      <c r="U100"/>
      <c r="V100"/>
      <c r="W100"/>
      <c r="X100"/>
    </row>
    <row r="101" spans="1:24" s="21" customFormat="1" x14ac:dyDescent="0.25">
      <c r="A101" s="6"/>
      <c r="H101" s="22"/>
      <c r="L101" s="22"/>
      <c r="M101" s="22"/>
      <c r="T101"/>
      <c r="U101"/>
      <c r="V101"/>
      <c r="W101"/>
      <c r="X101"/>
    </row>
    <row r="102" spans="1:24" s="21" customFormat="1" x14ac:dyDescent="0.25">
      <c r="A102" s="6"/>
      <c r="H102" s="22"/>
      <c r="L102" s="22"/>
      <c r="M102" s="22"/>
      <c r="T102"/>
      <c r="U102"/>
      <c r="V102"/>
      <c r="W102"/>
      <c r="X102"/>
    </row>
    <row r="103" spans="1:24" s="21" customFormat="1" x14ac:dyDescent="0.25">
      <c r="A103" s="6"/>
      <c r="H103" s="22"/>
      <c r="L103" s="22"/>
      <c r="M103" s="22"/>
      <c r="T103"/>
      <c r="U103"/>
      <c r="V103"/>
      <c r="W103"/>
      <c r="X103"/>
    </row>
    <row r="104" spans="1:24" s="21" customFormat="1" x14ac:dyDescent="0.25">
      <c r="A104" s="6"/>
      <c r="H104" s="22"/>
      <c r="L104" s="22"/>
      <c r="M104" s="22"/>
      <c r="T104"/>
      <c r="U104"/>
      <c r="V104"/>
      <c r="W104"/>
      <c r="X104"/>
    </row>
    <row r="105" spans="1:24" s="21" customFormat="1" x14ac:dyDescent="0.25">
      <c r="A105" s="6"/>
      <c r="H105" s="22"/>
      <c r="L105" s="22"/>
      <c r="M105" s="22"/>
      <c r="T105"/>
      <c r="U105"/>
      <c r="V105"/>
      <c r="W105"/>
      <c r="X105"/>
    </row>
    <row r="106" spans="1:24" s="21" customFormat="1" x14ac:dyDescent="0.25">
      <c r="A106" s="6"/>
      <c r="H106" s="22"/>
      <c r="L106" s="22"/>
      <c r="M106" s="22"/>
      <c r="T106"/>
      <c r="U106"/>
      <c r="V106"/>
      <c r="W106"/>
      <c r="X106"/>
    </row>
    <row r="107" spans="1:24" s="21" customFormat="1" x14ac:dyDescent="0.25">
      <c r="A107" s="6"/>
      <c r="H107" s="22"/>
      <c r="L107" s="22"/>
      <c r="M107" s="22"/>
      <c r="T107"/>
      <c r="U107"/>
      <c r="V107"/>
      <c r="W107"/>
      <c r="X107"/>
    </row>
    <row r="108" spans="1:24" s="21" customFormat="1" x14ac:dyDescent="0.25">
      <c r="A108" s="6"/>
      <c r="H108" s="22"/>
      <c r="L108" s="22"/>
      <c r="M108" s="22"/>
      <c r="T108"/>
      <c r="U108"/>
      <c r="V108"/>
      <c r="W108"/>
      <c r="X108"/>
    </row>
    <row r="109" spans="1:24" s="21" customFormat="1" x14ac:dyDescent="0.25">
      <c r="A109" s="6"/>
      <c r="H109" s="22"/>
      <c r="L109" s="22"/>
      <c r="M109" s="22"/>
      <c r="T109"/>
      <c r="U109"/>
      <c r="V109"/>
      <c r="W109"/>
      <c r="X109"/>
    </row>
    <row r="110" spans="1:24" s="21" customFormat="1" x14ac:dyDescent="0.25">
      <c r="A110" s="6"/>
      <c r="H110" s="22"/>
      <c r="L110" s="22"/>
      <c r="M110" s="22"/>
      <c r="T110"/>
      <c r="U110"/>
      <c r="V110"/>
      <c r="W110"/>
      <c r="X110"/>
    </row>
    <row r="111" spans="1:24" s="21" customFormat="1" x14ac:dyDescent="0.25">
      <c r="A111" s="6"/>
      <c r="H111" s="22"/>
      <c r="L111" s="22"/>
      <c r="M111" s="22"/>
      <c r="T111"/>
      <c r="U111"/>
      <c r="V111"/>
      <c r="W111"/>
      <c r="X111"/>
    </row>
    <row r="112" spans="1:24" s="21" customFormat="1" x14ac:dyDescent="0.25">
      <c r="A112" s="6"/>
      <c r="H112" s="22"/>
      <c r="L112" s="22"/>
      <c r="M112" s="22"/>
      <c r="T112"/>
      <c r="U112"/>
      <c r="V112"/>
      <c r="W112"/>
      <c r="X112"/>
    </row>
    <row r="113" spans="1:24" s="21" customFormat="1" x14ac:dyDescent="0.25">
      <c r="A113" s="6"/>
      <c r="H113" s="22"/>
      <c r="L113" s="22"/>
      <c r="M113" s="22"/>
      <c r="T113"/>
      <c r="U113"/>
      <c r="V113"/>
      <c r="W113"/>
      <c r="X113"/>
    </row>
    <row r="114" spans="1:24" s="21" customFormat="1" x14ac:dyDescent="0.25">
      <c r="A114" s="6"/>
      <c r="H114" s="22"/>
      <c r="L114" s="22"/>
      <c r="M114" s="22"/>
      <c r="T114"/>
      <c r="U114"/>
      <c r="V114"/>
      <c r="W114"/>
      <c r="X114"/>
    </row>
    <row r="115" spans="1:24" s="21" customFormat="1" x14ac:dyDescent="0.25">
      <c r="A115" s="6"/>
      <c r="H115" s="22"/>
      <c r="L115" s="22"/>
      <c r="M115" s="22"/>
      <c r="T115"/>
      <c r="U115"/>
      <c r="V115"/>
      <c r="W115"/>
      <c r="X115"/>
    </row>
    <row r="116" spans="1:24" s="21" customFormat="1" x14ac:dyDescent="0.25">
      <c r="A116" s="6"/>
      <c r="H116" s="22"/>
      <c r="L116" s="22"/>
      <c r="M116" s="22"/>
      <c r="T116"/>
      <c r="U116"/>
      <c r="V116"/>
      <c r="W116"/>
      <c r="X116"/>
    </row>
    <row r="117" spans="1:24" s="21" customFormat="1" x14ac:dyDescent="0.25">
      <c r="A117" s="6"/>
      <c r="H117" s="22"/>
      <c r="L117" s="22"/>
      <c r="M117" s="22"/>
      <c r="T117"/>
      <c r="U117"/>
      <c r="V117"/>
      <c r="W117"/>
      <c r="X117"/>
    </row>
    <row r="118" spans="1:24" s="21" customFormat="1" x14ac:dyDescent="0.25">
      <c r="A118" s="6"/>
      <c r="H118" s="22"/>
      <c r="L118" s="22"/>
      <c r="M118" s="22"/>
      <c r="T118"/>
      <c r="U118"/>
      <c r="V118"/>
      <c r="W118"/>
      <c r="X118"/>
    </row>
    <row r="119" spans="1:24" s="21" customFormat="1" x14ac:dyDescent="0.25">
      <c r="A119" s="6"/>
      <c r="H119" s="22"/>
      <c r="L119" s="22"/>
      <c r="M119" s="22"/>
      <c r="T119"/>
      <c r="U119"/>
      <c r="V119"/>
      <c r="W119"/>
      <c r="X119"/>
    </row>
    <row r="120" spans="1:24" s="21" customFormat="1" x14ac:dyDescent="0.25">
      <c r="A120" s="6"/>
      <c r="H120" s="22"/>
      <c r="L120" s="22"/>
      <c r="M120" s="22"/>
      <c r="T120"/>
      <c r="U120"/>
      <c r="V120"/>
      <c r="W120"/>
      <c r="X120"/>
    </row>
    <row r="121" spans="1:24" s="21" customFormat="1" x14ac:dyDescent="0.25">
      <c r="A121" s="6"/>
      <c r="H121" s="22"/>
      <c r="L121" s="22"/>
      <c r="M121" s="22"/>
      <c r="T121"/>
      <c r="U121"/>
      <c r="V121"/>
      <c r="W121"/>
      <c r="X121"/>
    </row>
    <row r="122" spans="1:24" s="21" customFormat="1" x14ac:dyDescent="0.25">
      <c r="A122" s="6"/>
      <c r="H122" s="22"/>
      <c r="L122" s="22"/>
      <c r="M122" s="22"/>
      <c r="T122"/>
      <c r="U122"/>
      <c r="V122"/>
      <c r="W122"/>
      <c r="X122"/>
    </row>
    <row r="123" spans="1:24" s="21" customFormat="1" x14ac:dyDescent="0.25">
      <c r="A123" s="6"/>
      <c r="H123" s="22"/>
      <c r="L123" s="22"/>
      <c r="M123" s="22"/>
      <c r="T123"/>
      <c r="U123"/>
      <c r="V123"/>
      <c r="W123"/>
      <c r="X123"/>
    </row>
    <row r="124" spans="1:24" s="21" customFormat="1" x14ac:dyDescent="0.25">
      <c r="A124" s="6"/>
      <c r="H124" s="22"/>
      <c r="L124" s="22"/>
      <c r="M124" s="22"/>
      <c r="T124"/>
      <c r="U124"/>
      <c r="V124"/>
      <c r="W124"/>
      <c r="X124"/>
    </row>
    <row r="125" spans="1:24" s="21" customFormat="1" x14ac:dyDescent="0.25">
      <c r="A125" s="6"/>
      <c r="H125" s="22"/>
      <c r="L125" s="22"/>
      <c r="M125" s="22"/>
      <c r="T125"/>
      <c r="U125"/>
      <c r="V125"/>
      <c r="W125"/>
      <c r="X125"/>
    </row>
    <row r="126" spans="1:24" s="21" customFormat="1" x14ac:dyDescent="0.25">
      <c r="A126" s="6"/>
      <c r="H126" s="22"/>
      <c r="L126" s="22"/>
      <c r="M126" s="22"/>
      <c r="T126"/>
      <c r="U126"/>
      <c r="V126"/>
      <c r="W126"/>
      <c r="X126"/>
    </row>
    <row r="127" spans="1:24" s="21" customFormat="1" x14ac:dyDescent="0.25">
      <c r="A127" s="6"/>
      <c r="H127" s="22"/>
      <c r="L127" s="22"/>
      <c r="M127" s="22"/>
      <c r="T127"/>
      <c r="U127"/>
      <c r="V127"/>
      <c r="W127"/>
      <c r="X127"/>
    </row>
    <row r="128" spans="1:24" s="21" customFormat="1" x14ac:dyDescent="0.25">
      <c r="A128" s="6"/>
      <c r="H128" s="22"/>
      <c r="L128" s="22"/>
      <c r="M128" s="22"/>
      <c r="T128"/>
      <c r="U128"/>
      <c r="V128"/>
      <c r="W128"/>
      <c r="X128"/>
    </row>
    <row r="129" spans="1:24" s="21" customFormat="1" x14ac:dyDescent="0.25">
      <c r="A129" s="6"/>
      <c r="H129" s="22"/>
      <c r="L129" s="22"/>
      <c r="M129" s="22"/>
      <c r="T129"/>
      <c r="U129"/>
      <c r="V129"/>
      <c r="W129"/>
      <c r="X129"/>
    </row>
    <row r="130" spans="1:24" s="21" customFormat="1" x14ac:dyDescent="0.25">
      <c r="A130" s="6"/>
      <c r="H130" s="22"/>
      <c r="L130" s="22"/>
      <c r="M130" s="22"/>
      <c r="T130"/>
      <c r="U130"/>
      <c r="V130"/>
      <c r="W130"/>
      <c r="X130"/>
    </row>
    <row r="131" spans="1:24" s="21" customFormat="1" x14ac:dyDescent="0.25">
      <c r="A131" s="6"/>
      <c r="H131" s="22"/>
      <c r="L131" s="22"/>
      <c r="M131" s="22"/>
      <c r="T131"/>
      <c r="U131"/>
      <c r="V131"/>
      <c r="W131"/>
      <c r="X131"/>
    </row>
    <row r="132" spans="1:24" s="21" customFormat="1" x14ac:dyDescent="0.25">
      <c r="A132" s="6"/>
      <c r="H132" s="22"/>
      <c r="L132" s="22"/>
      <c r="M132" s="22"/>
      <c r="T132"/>
      <c r="U132"/>
      <c r="V132"/>
      <c r="W132"/>
      <c r="X132"/>
    </row>
    <row r="133" spans="1:24" s="21" customFormat="1" x14ac:dyDescent="0.25">
      <c r="A133" s="6"/>
      <c r="H133" s="22"/>
      <c r="L133" s="22"/>
      <c r="M133" s="22"/>
      <c r="T133"/>
      <c r="U133"/>
      <c r="V133"/>
      <c r="W133"/>
      <c r="X133"/>
    </row>
    <row r="134" spans="1:24" s="21" customFormat="1" x14ac:dyDescent="0.25">
      <c r="A134" s="6"/>
      <c r="H134" s="22"/>
      <c r="L134" s="22"/>
      <c r="M134" s="22"/>
      <c r="T134"/>
      <c r="U134"/>
      <c r="V134"/>
      <c r="W134"/>
      <c r="X134"/>
    </row>
    <row r="135" spans="1:24" s="21" customFormat="1" x14ac:dyDescent="0.25">
      <c r="A135" s="6"/>
      <c r="H135" s="22"/>
      <c r="L135" s="22"/>
      <c r="M135" s="22"/>
      <c r="T135"/>
      <c r="U135"/>
      <c r="V135"/>
      <c r="W135"/>
      <c r="X135"/>
    </row>
    <row r="136" spans="1:24" s="21" customFormat="1" x14ac:dyDescent="0.25">
      <c r="A136" s="6"/>
      <c r="H136" s="22"/>
      <c r="L136" s="22"/>
      <c r="M136" s="22"/>
      <c r="T136"/>
      <c r="U136"/>
      <c r="V136"/>
      <c r="W136"/>
      <c r="X136"/>
    </row>
    <row r="137" spans="1:24" s="21" customFormat="1" x14ac:dyDescent="0.25">
      <c r="A137" s="6"/>
      <c r="H137" s="22"/>
      <c r="L137" s="22"/>
      <c r="M137" s="22"/>
      <c r="T137"/>
      <c r="U137"/>
      <c r="V137"/>
      <c r="W137"/>
      <c r="X137"/>
    </row>
    <row r="138" spans="1:24" s="21" customFormat="1" x14ac:dyDescent="0.25">
      <c r="A138" s="6"/>
      <c r="H138" s="22"/>
      <c r="L138" s="22"/>
      <c r="M138" s="22"/>
      <c r="T138"/>
      <c r="U138"/>
      <c r="V138"/>
      <c r="W138"/>
      <c r="X138"/>
    </row>
    <row r="139" spans="1:24" s="21" customFormat="1" x14ac:dyDescent="0.25">
      <c r="A139" s="6"/>
      <c r="H139" s="22"/>
      <c r="L139" s="22"/>
      <c r="M139" s="22"/>
      <c r="T139"/>
      <c r="U139"/>
      <c r="V139"/>
      <c r="W139"/>
      <c r="X139"/>
    </row>
    <row r="140" spans="1:24" s="21" customFormat="1" x14ac:dyDescent="0.25">
      <c r="A140" s="6"/>
      <c r="H140" s="22"/>
      <c r="L140" s="22"/>
      <c r="M140" s="22"/>
      <c r="T140"/>
      <c r="U140"/>
      <c r="V140"/>
      <c r="W140"/>
      <c r="X140"/>
    </row>
    <row r="141" spans="1:24" s="21" customFormat="1" x14ac:dyDescent="0.25">
      <c r="A141" s="6"/>
      <c r="H141" s="22"/>
      <c r="L141" s="22"/>
      <c r="M141" s="22"/>
      <c r="T141"/>
      <c r="U141"/>
      <c r="V141"/>
      <c r="W141"/>
      <c r="X141"/>
    </row>
    <row r="142" spans="1:24" s="21" customFormat="1" x14ac:dyDescent="0.25">
      <c r="A142" s="6"/>
      <c r="H142" s="22"/>
      <c r="L142" s="22"/>
      <c r="M142" s="22"/>
      <c r="T142"/>
      <c r="U142"/>
      <c r="V142"/>
      <c r="W142"/>
      <c r="X142"/>
    </row>
    <row r="143" spans="1:24" s="21" customFormat="1" x14ac:dyDescent="0.25">
      <c r="A143" s="6"/>
      <c r="H143" s="22"/>
      <c r="L143" s="22"/>
      <c r="M143" s="22"/>
      <c r="T143"/>
      <c r="U143"/>
      <c r="V143"/>
      <c r="W143"/>
      <c r="X143"/>
    </row>
    <row r="144" spans="1:24" s="21" customFormat="1" x14ac:dyDescent="0.25">
      <c r="A144" s="6"/>
      <c r="H144" s="22"/>
      <c r="L144" s="22"/>
      <c r="M144" s="22"/>
      <c r="T144"/>
      <c r="U144"/>
      <c r="V144"/>
      <c r="W144"/>
      <c r="X144"/>
    </row>
    <row r="145" spans="1:24" s="21" customFormat="1" x14ac:dyDescent="0.25">
      <c r="A145" s="6"/>
      <c r="H145" s="22"/>
      <c r="L145" s="22"/>
      <c r="M145" s="22"/>
      <c r="T145"/>
      <c r="U145"/>
      <c r="V145"/>
      <c r="W145"/>
      <c r="X145"/>
    </row>
    <row r="146" spans="1:24" s="21" customFormat="1" x14ac:dyDescent="0.25">
      <c r="A146" s="6"/>
      <c r="H146" s="22"/>
      <c r="L146" s="22"/>
      <c r="M146" s="22"/>
      <c r="T146"/>
      <c r="U146"/>
      <c r="V146"/>
      <c r="W146"/>
      <c r="X146"/>
    </row>
    <row r="147" spans="1:24" s="21" customFormat="1" x14ac:dyDescent="0.25">
      <c r="A147" s="6"/>
      <c r="H147" s="22"/>
      <c r="L147" s="22"/>
      <c r="M147" s="22"/>
      <c r="T147"/>
      <c r="U147"/>
      <c r="V147"/>
      <c r="W147"/>
      <c r="X147"/>
    </row>
    <row r="148" spans="1:24" s="21" customFormat="1" x14ac:dyDescent="0.25">
      <c r="A148" s="6"/>
      <c r="H148" s="22"/>
      <c r="L148" s="22"/>
      <c r="M148" s="22"/>
      <c r="T148"/>
      <c r="U148"/>
      <c r="V148"/>
      <c r="W148"/>
      <c r="X148"/>
    </row>
    <row r="149" spans="1:24" s="21" customFormat="1" x14ac:dyDescent="0.25">
      <c r="A149" s="6"/>
      <c r="H149" s="22"/>
      <c r="L149" s="22"/>
      <c r="M149" s="22"/>
      <c r="T149"/>
      <c r="U149"/>
      <c r="V149"/>
      <c r="W149"/>
      <c r="X149"/>
    </row>
    <row r="150" spans="1:24" s="21" customFormat="1" x14ac:dyDescent="0.25">
      <c r="A150" s="6"/>
      <c r="H150" s="22"/>
      <c r="L150" s="22"/>
      <c r="M150" s="22"/>
      <c r="T150"/>
      <c r="U150"/>
      <c r="V150"/>
      <c r="W150"/>
      <c r="X150"/>
    </row>
    <row r="151" spans="1:24" s="21" customFormat="1" x14ac:dyDescent="0.25">
      <c r="A151" s="6"/>
      <c r="H151" s="22"/>
      <c r="L151" s="22"/>
      <c r="M151" s="22"/>
      <c r="T151"/>
      <c r="U151"/>
      <c r="V151"/>
      <c r="W151"/>
      <c r="X151"/>
    </row>
    <row r="152" spans="1:24" s="21" customFormat="1" x14ac:dyDescent="0.25">
      <c r="A152" s="6"/>
      <c r="H152" s="22"/>
      <c r="L152" s="22"/>
      <c r="M152" s="22"/>
      <c r="T152"/>
      <c r="U152"/>
      <c r="V152"/>
      <c r="W152"/>
      <c r="X152"/>
    </row>
    <row r="153" spans="1:24" s="21" customFormat="1" x14ac:dyDescent="0.25">
      <c r="A153" s="6"/>
      <c r="H153" s="22"/>
      <c r="L153" s="22"/>
      <c r="M153" s="22"/>
      <c r="T153"/>
      <c r="U153"/>
      <c r="V153"/>
      <c r="W153"/>
      <c r="X153"/>
    </row>
    <row r="154" spans="1:24" s="21" customFormat="1" x14ac:dyDescent="0.25">
      <c r="A154" s="6"/>
      <c r="H154" s="22"/>
      <c r="L154" s="22"/>
      <c r="M154" s="22"/>
      <c r="T154"/>
      <c r="U154"/>
      <c r="V154"/>
      <c r="W154"/>
      <c r="X154"/>
    </row>
    <row r="155" spans="1:24" s="21" customFormat="1" x14ac:dyDescent="0.25">
      <c r="A155" s="6"/>
      <c r="H155" s="22"/>
      <c r="L155" s="22"/>
      <c r="M155" s="22"/>
      <c r="T155"/>
      <c r="U155"/>
      <c r="V155"/>
      <c r="W155"/>
      <c r="X155"/>
    </row>
    <row r="156" spans="1:24" s="21" customFormat="1" x14ac:dyDescent="0.25">
      <c r="A156" s="6"/>
      <c r="H156" s="22"/>
      <c r="L156" s="22"/>
      <c r="M156" s="22"/>
      <c r="T156"/>
      <c r="U156"/>
      <c r="V156"/>
      <c r="W156"/>
      <c r="X156"/>
    </row>
    <row r="157" spans="1:24" s="21" customFormat="1" x14ac:dyDescent="0.25">
      <c r="A157" s="6"/>
      <c r="H157" s="22"/>
      <c r="L157" s="22"/>
      <c r="M157" s="22"/>
      <c r="T157"/>
      <c r="U157"/>
      <c r="V157"/>
      <c r="W157"/>
      <c r="X157"/>
    </row>
    <row r="158" spans="1:24" s="21" customFormat="1" x14ac:dyDescent="0.25">
      <c r="A158" s="6"/>
      <c r="H158" s="22"/>
      <c r="L158" s="22"/>
      <c r="M158" s="22"/>
      <c r="T158"/>
      <c r="U158"/>
      <c r="V158"/>
      <c r="W158"/>
      <c r="X158"/>
    </row>
    <row r="159" spans="1:24" s="21" customFormat="1" x14ac:dyDescent="0.25">
      <c r="A159" s="6"/>
      <c r="H159" s="22"/>
      <c r="L159" s="22"/>
      <c r="M159" s="22"/>
      <c r="T159"/>
      <c r="U159"/>
      <c r="V159"/>
      <c r="W159"/>
      <c r="X159"/>
    </row>
    <row r="160" spans="1:24" s="21" customFormat="1" x14ac:dyDescent="0.25">
      <c r="A160" s="6"/>
      <c r="H160" s="22"/>
      <c r="L160" s="22"/>
      <c r="M160" s="22"/>
      <c r="T160"/>
      <c r="U160"/>
      <c r="V160"/>
      <c r="W160"/>
      <c r="X160"/>
    </row>
    <row r="161" spans="1:24" s="21" customFormat="1" x14ac:dyDescent="0.25">
      <c r="A161" s="6"/>
      <c r="H161" s="22"/>
      <c r="L161" s="22"/>
      <c r="M161" s="22"/>
      <c r="T161"/>
      <c r="U161"/>
      <c r="V161"/>
      <c r="W161"/>
      <c r="X161"/>
    </row>
    <row r="162" spans="1:24" s="21" customFormat="1" x14ac:dyDescent="0.25">
      <c r="A162" s="6"/>
      <c r="H162" s="22"/>
      <c r="L162" s="22"/>
      <c r="M162" s="22"/>
      <c r="T162"/>
      <c r="U162"/>
      <c r="V162"/>
      <c r="W162"/>
      <c r="X162"/>
    </row>
    <row r="163" spans="1:24" s="21" customFormat="1" x14ac:dyDescent="0.25">
      <c r="A163" s="6"/>
      <c r="H163" s="22"/>
      <c r="L163" s="22"/>
      <c r="M163" s="22"/>
      <c r="T163"/>
      <c r="U163"/>
      <c r="V163"/>
      <c r="W163"/>
      <c r="X163"/>
    </row>
    <row r="164" spans="1:24" s="21" customFormat="1" x14ac:dyDescent="0.25">
      <c r="A164" s="6"/>
      <c r="H164" s="22"/>
      <c r="L164" s="22"/>
      <c r="M164" s="22"/>
      <c r="T164"/>
      <c r="U164"/>
      <c r="V164"/>
      <c r="W164"/>
      <c r="X164"/>
    </row>
    <row r="165" spans="1:24" s="21" customFormat="1" x14ac:dyDescent="0.25">
      <c r="A165" s="6"/>
      <c r="H165" s="22"/>
      <c r="L165" s="22"/>
      <c r="M165" s="22"/>
      <c r="T165"/>
      <c r="U165"/>
      <c r="V165"/>
      <c r="W165"/>
      <c r="X165"/>
    </row>
    <row r="166" spans="1:24" s="21" customFormat="1" x14ac:dyDescent="0.25">
      <c r="A166" s="6"/>
      <c r="H166" s="22"/>
      <c r="L166" s="22"/>
      <c r="M166" s="22"/>
      <c r="T166"/>
      <c r="U166"/>
      <c r="V166"/>
      <c r="W166"/>
      <c r="X166"/>
    </row>
    <row r="167" spans="1:24" s="21" customFormat="1" x14ac:dyDescent="0.25">
      <c r="A167" s="6"/>
      <c r="H167" s="22"/>
      <c r="L167" s="22"/>
      <c r="M167" s="22"/>
      <c r="T167"/>
      <c r="U167"/>
      <c r="V167"/>
      <c r="W167"/>
      <c r="X167"/>
    </row>
    <row r="168" spans="1:24" s="21" customFormat="1" x14ac:dyDescent="0.25">
      <c r="A168" s="6"/>
      <c r="L168" s="22"/>
      <c r="M168" s="22"/>
      <c r="T168"/>
      <c r="U168"/>
      <c r="V168"/>
      <c r="W168"/>
      <c r="X168"/>
    </row>
  </sheetData>
  <mergeCells count="7">
    <mergeCell ref="D35:H35"/>
    <mergeCell ref="A30:E30"/>
    <mergeCell ref="A8:F8"/>
    <mergeCell ref="A6:E6"/>
    <mergeCell ref="A28:E28"/>
    <mergeCell ref="A31:E31"/>
    <mergeCell ref="A29:E29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 22-23</vt:lpstr>
      <vt:lpstr>FY 21-22</vt:lpstr>
      <vt:lpstr>'FY 22-23'!Print_Area</vt:lpstr>
      <vt:lpstr>'FY 23-24'!Print_Area</vt:lpstr>
      <vt:lpstr>'FY 24-25'!Print_Area</vt:lpstr>
      <vt:lpstr>'FY 25-26'!Print_Area</vt:lpstr>
      <vt:lpstr>'FY 26-27'!Print_Area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2026-07-29T15:52:39Z</cp:lastPrinted>
  <dcterms:created xsi:type="dcterms:W3CDTF">2022-01-10T16:49:23Z</dcterms:created>
  <dcterms:modified xsi:type="dcterms:W3CDTF">2026-10-07T16:19:53Z</dcterms:modified>
</cp:coreProperties>
</file>